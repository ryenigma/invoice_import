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enigma\Documents\invoice_import\"/>
    </mc:Choice>
  </mc:AlternateContent>
  <xr:revisionPtr revIDLastSave="0" documentId="13_ncr:1_{AF69A0CC-2007-4CEC-8EE6-9F859D311176}" xr6:coauthVersionLast="46" xr6:coauthVersionMax="46" xr10:uidLastSave="{00000000-0000-0000-0000-000000000000}"/>
  <bookViews>
    <workbookView xWindow="7620" yWindow="7620" windowWidth="28395" windowHeight="20415" xr2:uid="{E7DBF9FD-18BB-4835-A081-7A0D661BE1DA}"/>
  </bookViews>
  <sheets>
    <sheet name="Import" sheetId="1" r:id="rId1"/>
    <sheet name="Servic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1" l="1"/>
  <c r="AC3" i="1"/>
  <c r="S3" i="1"/>
  <c r="N3" i="1" l="1"/>
  <c r="M3" i="1" l="1"/>
  <c r="R3" i="1" l="1"/>
  <c r="Q3" i="1"/>
  <c r="W3" i="1" l="1"/>
  <c r="V3" i="1"/>
  <c r="P3" i="1" l="1"/>
  <c r="L3" i="1"/>
</calcChain>
</file>

<file path=xl/sharedStrings.xml><?xml version="1.0" encoding="utf-8"?>
<sst xmlns="http://schemas.openxmlformats.org/spreadsheetml/2006/main" count="184" uniqueCount="173">
  <si>
    <t>Invoice/CM #</t>
  </si>
  <si>
    <t>Customer ID</t>
  </si>
  <si>
    <t>Item ID</t>
  </si>
  <si>
    <t>Quantity</t>
  </si>
  <si>
    <t>Date</t>
  </si>
  <si>
    <t>Date Due</t>
  </si>
  <si>
    <t>Description</t>
  </si>
  <si>
    <t>Unit Price</t>
  </si>
  <si>
    <t>G/L Account</t>
  </si>
  <si>
    <t>Accounts Receivable Account</t>
  </si>
  <si>
    <t>Number of Distributions</t>
  </si>
  <si>
    <t>Invoice/CM Distribution</t>
  </si>
  <si>
    <t>Tax Type</t>
  </si>
  <si>
    <t>Amount</t>
  </si>
  <si>
    <t>Sales Tax Agency ID</t>
  </si>
  <si>
    <t>Voided by Transaction</t>
  </si>
  <si>
    <t>Recur Number</t>
  </si>
  <si>
    <t>Recur Frequency</t>
  </si>
  <si>
    <t>Discount Percent</t>
  </si>
  <si>
    <t>Location</t>
  </si>
  <si>
    <t>Grower</t>
  </si>
  <si>
    <t>Report Number</t>
  </si>
  <si>
    <t>Ship to Name</t>
  </si>
  <si>
    <t>Ship to Address-Line One</t>
  </si>
  <si>
    <t>Ship to City</t>
  </si>
  <si>
    <t>Ship to State</t>
  </si>
  <si>
    <t>Ship to Zipcode</t>
  </si>
  <si>
    <t>481</t>
  </si>
  <si>
    <t>497</t>
  </si>
  <si>
    <t>498</t>
  </si>
  <si>
    <t>901</t>
  </si>
  <si>
    <t>904</t>
  </si>
  <si>
    <t>909</t>
  </si>
  <si>
    <t>910</t>
  </si>
  <si>
    <t>911</t>
  </si>
  <si>
    <t>960</t>
  </si>
  <si>
    <t>961</t>
  </si>
  <si>
    <t>971</t>
  </si>
  <si>
    <t>975</t>
  </si>
  <si>
    <t>976</t>
  </si>
  <si>
    <t>977</t>
  </si>
  <si>
    <t>978</t>
  </si>
  <si>
    <t>979</t>
  </si>
  <si>
    <t>980</t>
  </si>
  <si>
    <t>F1</t>
  </si>
  <si>
    <t>F2A</t>
  </si>
  <si>
    <t>F2B</t>
  </si>
  <si>
    <t>F3</t>
  </si>
  <si>
    <t>F3A</t>
  </si>
  <si>
    <t>F6</t>
  </si>
  <si>
    <t>F6A</t>
  </si>
  <si>
    <t>F7</t>
  </si>
  <si>
    <t>F8</t>
  </si>
  <si>
    <t>F9</t>
  </si>
  <si>
    <t>GR</t>
  </si>
  <si>
    <t>PT12</t>
  </si>
  <si>
    <t>PT13</t>
  </si>
  <si>
    <t>PT14</t>
  </si>
  <si>
    <t>PT15</t>
  </si>
  <si>
    <t>PT16</t>
  </si>
  <si>
    <t>PT17</t>
  </si>
  <si>
    <t>PT18</t>
  </si>
  <si>
    <t>PT19</t>
  </si>
  <si>
    <t>PT2</t>
  </si>
  <si>
    <t>PT20</t>
  </si>
  <si>
    <t>PT21</t>
  </si>
  <si>
    <t>PT22</t>
  </si>
  <si>
    <t>PT23</t>
  </si>
  <si>
    <t>PT24</t>
  </si>
  <si>
    <t>PT25</t>
  </si>
  <si>
    <t>PT26</t>
  </si>
  <si>
    <t>PT26G</t>
  </si>
  <si>
    <t>PT27</t>
  </si>
  <si>
    <t>PT28</t>
  </si>
  <si>
    <t>PT2G</t>
  </si>
  <si>
    <t>PT3</t>
  </si>
  <si>
    <t>PT3G</t>
  </si>
  <si>
    <t>PT4</t>
  </si>
  <si>
    <t>PT4G</t>
  </si>
  <si>
    <t>PT5</t>
  </si>
  <si>
    <t>PT5A</t>
  </si>
  <si>
    <t>PT5AG</t>
  </si>
  <si>
    <t>PT5G</t>
  </si>
  <si>
    <t>PT6</t>
  </si>
  <si>
    <t>PT6G</t>
  </si>
  <si>
    <t>PT7</t>
  </si>
  <si>
    <t>PT7G</t>
  </si>
  <si>
    <t>PT8</t>
  </si>
  <si>
    <t>PT8G</t>
  </si>
  <si>
    <t>S10</t>
  </si>
  <si>
    <t>S10A</t>
  </si>
  <si>
    <t>S10C</t>
  </si>
  <si>
    <t>S10CG</t>
  </si>
  <si>
    <t>S10P</t>
  </si>
  <si>
    <t>S11</t>
  </si>
  <si>
    <t>S12</t>
  </si>
  <si>
    <t>S14</t>
  </si>
  <si>
    <t>S15</t>
  </si>
  <si>
    <t>S18</t>
  </si>
  <si>
    <t>S19</t>
  </si>
  <si>
    <t>S1A</t>
  </si>
  <si>
    <t>S1AG</t>
  </si>
  <si>
    <t>S1AN</t>
  </si>
  <si>
    <t>S1B</t>
  </si>
  <si>
    <t>S1BG</t>
  </si>
  <si>
    <t>S1BN</t>
  </si>
  <si>
    <t>S1BNG</t>
  </si>
  <si>
    <t>S2</t>
  </si>
  <si>
    <t>S20</t>
  </si>
  <si>
    <t>S21</t>
  </si>
  <si>
    <t>S22</t>
  </si>
  <si>
    <t>S23</t>
  </si>
  <si>
    <t>S24</t>
  </si>
  <si>
    <t>S25</t>
  </si>
  <si>
    <t>S26</t>
  </si>
  <si>
    <t>S27</t>
  </si>
  <si>
    <t>S27A</t>
  </si>
  <si>
    <t>S28</t>
  </si>
  <si>
    <t>S2G</t>
  </si>
  <si>
    <t>S2N</t>
  </si>
  <si>
    <t>S2NA</t>
  </si>
  <si>
    <t>S2NG</t>
  </si>
  <si>
    <t>S3</t>
  </si>
  <si>
    <t>S38</t>
  </si>
  <si>
    <t>S3C</t>
  </si>
  <si>
    <t>S3CA</t>
  </si>
  <si>
    <t>S3CAG</t>
  </si>
  <si>
    <t>S3CG</t>
  </si>
  <si>
    <t>S3G</t>
  </si>
  <si>
    <t>S4</t>
  </si>
  <si>
    <t>S40</t>
  </si>
  <si>
    <t>S46</t>
  </si>
  <si>
    <t>S4G</t>
  </si>
  <si>
    <t>S6</t>
  </si>
  <si>
    <t>S6G</t>
  </si>
  <si>
    <t>S7</t>
  </si>
  <si>
    <t>S7A</t>
  </si>
  <si>
    <t>S8</t>
  </si>
  <si>
    <t>S9</t>
  </si>
  <si>
    <t>T Service</t>
  </si>
  <si>
    <t>D Service</t>
  </si>
  <si>
    <t>A</t>
  </si>
  <si>
    <t>B</t>
  </si>
  <si>
    <t>F</t>
  </si>
  <si>
    <t>G</t>
  </si>
  <si>
    <t>I</t>
  </si>
  <si>
    <t>J</t>
  </si>
  <si>
    <t>K</t>
  </si>
  <si>
    <t>L</t>
  </si>
  <si>
    <t>M</t>
  </si>
  <si>
    <t>Q</t>
  </si>
  <si>
    <t>C</t>
  </si>
  <si>
    <t>D</t>
  </si>
  <si>
    <t>O</t>
  </si>
  <si>
    <t>P</t>
  </si>
  <si>
    <t>AA</t>
  </si>
  <si>
    <t>AD</t>
  </si>
  <si>
    <t>PT</t>
  </si>
  <si>
    <t>S</t>
  </si>
  <si>
    <t>N</t>
  </si>
  <si>
    <t>FT</t>
  </si>
  <si>
    <t>W</t>
  </si>
  <si>
    <t>DW</t>
  </si>
  <si>
    <t>MB</t>
  </si>
  <si>
    <t>PA</t>
  </si>
  <si>
    <t>MT</t>
  </si>
  <si>
    <t>CA GL</t>
  </si>
  <si>
    <t>CA Service</t>
  </si>
  <si>
    <t>OR Service</t>
  </si>
  <si>
    <t>OR GL</t>
  </si>
  <si>
    <t>SH</t>
  </si>
  <si>
    <t>DI</t>
  </si>
  <si>
    <t>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</si>
</sst>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;@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1"/>
    <xf numFmtId="0" fontId="2" fillId="4" borderId="0" xfId="1" applyFont="1" applyFill="1"/>
    <xf numFmtId="0" fontId="1" fillId="0" borderId="0" xfId="1" applyAlignment="1">
      <alignment horizontal="center"/>
    </xf>
    <xf numFmtId="49" fontId="1" fillId="5" borderId="0" xfId="1" applyNumberFormat="1" applyFill="1" applyAlignment="1">
      <alignment horizontal="center" shrinkToFit="1"/>
    </xf>
    <xf numFmtId="164" fontId="1" fillId="5" borderId="0" xfId="1" applyNumberFormat="1" applyFill="1" applyAlignment="1">
      <alignment horizontal="center" shrinkToFit="1"/>
    </xf>
    <xf numFmtId="164" fontId="1" fillId="0" borderId="0" xfId="1" applyNumberFormat="1" applyAlignment="1">
      <alignment horizontal="center" shrinkToFit="1"/>
    </xf>
    <xf numFmtId="49" fontId="1" fillId="0" borderId="0" xfId="1" applyNumberFormat="1" applyAlignment="1">
      <alignment horizontal="center" shrinkToFit="1"/>
    </xf>
    <xf numFmtId="0" fontId="1" fillId="0" borderId="0" xfId="1" applyAlignment="1">
      <alignment horizontal="center" shrinkToFit="1"/>
    </xf>
    <xf numFmtId="0" fontId="1" fillId="0" borderId="0" xfId="1" applyNumberFormat="1" applyAlignment="1">
      <alignment horizontal="center" shrinkToFit="1"/>
    </xf>
    <xf numFmtId="49" fontId="0" fillId="3" borderId="0" xfId="0" applyNumberFormat="1" applyFill="1" applyAlignment="1">
      <alignment shrinkToFit="1"/>
    </xf>
    <xf numFmtId="164" fontId="0" fillId="0" borderId="0" xfId="0" applyNumberFormat="1" applyAlignment="1">
      <alignment shrinkToFit="1"/>
    </xf>
    <xf numFmtId="49" fontId="0" fillId="0" borderId="0" xfId="0" applyNumberFormat="1" applyFill="1" applyAlignment="1">
      <alignment shrinkToFit="1"/>
    </xf>
    <xf numFmtId="0" fontId="0" fillId="0" borderId="0" xfId="0" applyAlignment="1">
      <alignment shrinkToFit="1"/>
    </xf>
    <xf numFmtId="0" fontId="0" fillId="0" borderId="0" xfId="0" applyNumberFormat="1" applyAlignment="1">
      <alignment shrinkToFit="1"/>
    </xf>
    <xf numFmtId="49" fontId="0" fillId="0" borderId="0" xfId="0" applyNumberFormat="1" applyAlignment="1">
      <alignment shrinkToFit="1"/>
    </xf>
    <xf numFmtId="49" fontId="2" fillId="2" borderId="0" xfId="1" applyNumberFormat="1" applyFont="1" applyFill="1" applyAlignment="1">
      <alignment shrinkToFit="1"/>
    </xf>
    <xf numFmtId="164" fontId="1" fillId="0" borderId="0" xfId="1" applyNumberFormat="1" applyAlignment="1">
      <alignment shrinkToFit="1"/>
    </xf>
    <xf numFmtId="0" fontId="1" fillId="0" borderId="0" xfId="1" applyAlignment="1">
      <alignment shrinkToFit="1"/>
    </xf>
    <xf numFmtId="0" fontId="1" fillId="0" borderId="0" xfId="1" applyNumberFormat="1" applyAlignment="1">
      <alignment shrinkToFit="1"/>
    </xf>
    <xf numFmtId="49" fontId="1" fillId="0" borderId="0" xfId="1" applyNumberFormat="1" applyAlignment="1">
      <alignment shrinkToFit="1"/>
    </xf>
  </cellXfs>
  <cellStyles count="2">
    <cellStyle name="Normal" xfId="0" builtinId="0"/>
    <cellStyle name="Normal 2" xfId="1" xr:uid="{D9D46A0D-1D17-47A3-B553-B197747EC3A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0</xdr:row>
          <xdr:rowOff>9525</xdr:rowOff>
        </xdr:from>
        <xdr:to>
          <xdr:col>21</xdr:col>
          <xdr:colOff>904875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Fill/Discount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057E-AB85-4D70-AD4D-AC700783F331}">
  <sheetPr codeName="Sheet1"/>
  <dimension ref="A1:AF494"/>
  <sheetViews>
    <sheetView tabSelected="1" workbookViewId="0">
      <selection activeCell="A3" sqref="A3"/>
    </sheetView>
  </sheetViews>
  <sheetFormatPr defaultColWidth="9.140625" defaultRowHeight="15" x14ac:dyDescent="0.25"/>
  <cols>
    <col min="1" max="1" width="12.5703125" style="20" bestFit="1" customWidth="1"/>
    <col min="2" max="2" width="11.85546875" style="20" bestFit="1" customWidth="1"/>
    <col min="3" max="3" width="7.42578125" style="20" bestFit="1" customWidth="1"/>
    <col min="4" max="4" width="8.7109375" style="20" bestFit="1" customWidth="1"/>
    <col min="5" max="5" width="12.85546875" style="20" customWidth="1"/>
    <col min="6" max="6" width="23.7109375" style="20" customWidth="1"/>
    <col min="7" max="7" width="11" style="20" customWidth="1"/>
    <col min="8" max="8" width="12.140625" style="20" customWidth="1"/>
    <col min="9" max="9" width="14.7109375" style="20" customWidth="1"/>
    <col min="10" max="10" width="9.5703125" style="20" customWidth="1"/>
    <col min="11" max="12" width="9.28515625" style="17" customWidth="1"/>
    <col min="13" max="13" width="11.140625" style="20" bestFit="1" customWidth="1"/>
    <col min="14" max="14" width="11.5703125" style="18" bestFit="1" customWidth="1"/>
    <col min="15" max="15" width="27.28515625" style="19" customWidth="1"/>
    <col min="16" max="16" width="22.85546875" style="18" customWidth="1"/>
    <col min="17" max="17" width="22.5703125" style="18" customWidth="1"/>
    <col min="18" max="18" width="8.7109375" style="20" customWidth="1"/>
    <col min="19" max="19" width="8.5703125" style="18" customWidth="1"/>
    <col min="20" max="20" width="18.42578125" style="20" customWidth="1"/>
    <col min="21" max="21" width="20.85546875" style="20" customWidth="1"/>
    <col min="22" max="22" width="13.85546875" style="19" customWidth="1"/>
    <col min="23" max="23" width="15.85546875" style="19" customWidth="1"/>
    <col min="24" max="24" width="14.85546875" style="20" bestFit="1" customWidth="1"/>
    <col min="25" max="25" width="7.7109375" style="20" bestFit="1" customWidth="1"/>
    <col min="26" max="26" width="11.140625" style="20" bestFit="1" customWidth="1"/>
    <col min="27" max="27" width="16.42578125" style="20" bestFit="1" customWidth="1"/>
    <col min="28" max="28" width="8.85546875" style="20" bestFit="1" customWidth="1"/>
    <col min="33" max="16384" width="9.140625" style="1"/>
  </cols>
  <sheetData>
    <row r="1" spans="1:29" s="3" customFormat="1" ht="12.75" x14ac:dyDescent="0.2">
      <c r="A1" s="4" t="s">
        <v>141</v>
      </c>
      <c r="B1" s="4" t="s">
        <v>142</v>
      </c>
      <c r="C1" s="4" t="s">
        <v>143</v>
      </c>
      <c r="D1" s="4" t="s">
        <v>144</v>
      </c>
      <c r="E1" s="4" t="s">
        <v>145</v>
      </c>
      <c r="F1" s="4" t="s">
        <v>146</v>
      </c>
      <c r="G1" s="4" t="s">
        <v>147</v>
      </c>
      <c r="H1" s="4" t="s">
        <v>148</v>
      </c>
      <c r="I1" s="4" t="s">
        <v>149</v>
      </c>
      <c r="J1" s="4" t="s">
        <v>150</v>
      </c>
      <c r="K1" s="5" t="s">
        <v>153</v>
      </c>
      <c r="L1" s="6"/>
      <c r="M1" s="7"/>
      <c r="N1" s="8"/>
      <c r="O1" s="9"/>
      <c r="P1" s="8"/>
      <c r="Q1" s="8"/>
      <c r="R1" s="7"/>
      <c r="S1" s="8"/>
      <c r="T1" s="7"/>
      <c r="U1" s="7"/>
      <c r="V1" s="9"/>
      <c r="W1" s="9"/>
      <c r="X1" s="4" t="s">
        <v>151</v>
      </c>
      <c r="Y1" s="4" t="s">
        <v>152</v>
      </c>
      <c r="Z1" s="4" t="s">
        <v>154</v>
      </c>
      <c r="AA1" s="4" t="s">
        <v>155</v>
      </c>
      <c r="AB1" s="4" t="s">
        <v>156</v>
      </c>
    </row>
    <row r="2" spans="1:29" customFormat="1" x14ac:dyDescent="0.25">
      <c r="A2" s="10" t="s">
        <v>0</v>
      </c>
      <c r="B2" s="10" t="s">
        <v>1</v>
      </c>
      <c r="C2" s="10" t="s">
        <v>2</v>
      </c>
      <c r="D2" s="10" t="s">
        <v>3</v>
      </c>
      <c r="E2" s="10" t="s">
        <v>22</v>
      </c>
      <c r="F2" s="10" t="s">
        <v>23</v>
      </c>
      <c r="G2" s="10" t="s">
        <v>24</v>
      </c>
      <c r="H2" s="10" t="s">
        <v>25</v>
      </c>
      <c r="I2" s="10" t="s">
        <v>26</v>
      </c>
      <c r="J2" s="10" t="s">
        <v>7</v>
      </c>
      <c r="K2" s="10" t="s">
        <v>4</v>
      </c>
      <c r="L2" s="11" t="s">
        <v>5</v>
      </c>
      <c r="M2" s="12" t="s">
        <v>6</v>
      </c>
      <c r="N2" s="13" t="s">
        <v>8</v>
      </c>
      <c r="O2" s="14" t="s">
        <v>9</v>
      </c>
      <c r="P2" s="13" t="s">
        <v>10</v>
      </c>
      <c r="Q2" s="13" t="s">
        <v>11</v>
      </c>
      <c r="R2" s="15" t="s">
        <v>12</v>
      </c>
      <c r="S2" s="13" t="s">
        <v>13</v>
      </c>
      <c r="T2" s="15" t="s">
        <v>14</v>
      </c>
      <c r="U2" s="15" t="s">
        <v>15</v>
      </c>
      <c r="V2" s="14" t="s">
        <v>16</v>
      </c>
      <c r="W2" s="14" t="s">
        <v>17</v>
      </c>
      <c r="X2" s="16" t="s">
        <v>21</v>
      </c>
      <c r="Y2" s="16" t="s">
        <v>20</v>
      </c>
      <c r="Z2" s="16" t="s">
        <v>6</v>
      </c>
      <c r="AA2" s="16" t="s">
        <v>18</v>
      </c>
      <c r="AB2" s="16" t="s">
        <v>19</v>
      </c>
    </row>
    <row r="3" spans="1:29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7" t="str">
        <f>IF(NOT(K3=""),K3+30,"")</f>
        <v/>
      </c>
      <c r="M3" s="13" t="str">
        <f>IF(NOT(A3=""),CONCATENATE(IF(Y3="",Z3,CONCATENATE(Z3," - ")),IF(NOT(Y3=""),Y3,""),IF(NOT(X3=""),CONCATENATE(" - ",X3),"")),"")</f>
        <v/>
      </c>
      <c r="N3" s="18" t="str">
        <f>IF(NOT(A3=""),IF(AB3="LAB-OR",IF(COUNTIF(Services!E:E,IF(ISERR(RIGHT(LEFT(C3,2),1)*1),LEFT(C3,2),LEFT(C3,1)))=1,_xlfn.XLOOKUP(IF(ISERR(RIGHT(LEFT(C3,2),1)*1),LEFT(C3,2),LEFT(C3,1)),Services!E:E,Services!F:F),_xlfn.XLOOKUP(IF(ISERR(RIGHT(LEFT(C3,2),1)*1),LEFT(C3,2),LEFT(C3,1)),Services!C:C,Services!D:D,40000)),_xlfn.XLOOKUP(IF(ISERR(RIGHT(LEFT(C3,2),1)*1),LEFT(C3,2),LEFT(C3,1)),Services!C:C,Services!D:D,40000)),"")</f>
        <v/>
      </c>
      <c r="O3" s="19" t="str">
        <f>IF(NOT(A3=""),11000,"")</f>
        <v/>
      </c>
      <c r="P3" s="18" t="str">
        <f>IF(NOT(A3=""),COUNTIF(A:A,A3),"")</f>
        <v/>
      </c>
      <c r="Q3" s="18" t="str">
        <f>IF(NOT(A3=""),IF(A3=A2,Q2+1,1),"")</f>
        <v/>
      </c>
      <c r="R3" s="19" t="str">
        <f>IF(NOT(A3=""),IF(COUNTIF(Services!A:A,C3)=1,1,2),"")</f>
        <v/>
      </c>
      <c r="S3" s="18" t="str">
        <f>IF(NOT($A3=""),IF(OR($D3="",$J3=""),"",CONCATENATE("-",$D3*$J3)),"")</f>
        <v/>
      </c>
      <c r="V3" s="19" t="str">
        <f>IF(NOT(A3=""),0,"")</f>
        <v/>
      </c>
      <c r="W3" s="19" t="str">
        <f>IF(NOT(A3=""),0,"")</f>
        <v/>
      </c>
      <c r="X3" s="15"/>
      <c r="Y3" s="15"/>
      <c r="Z3" s="15"/>
      <c r="AA3" s="15"/>
      <c r="AB3" s="15"/>
      <c r="AC3" s="18" t="str">
        <f>IF(NOT($A3=""),IF(OR($D3="",$J3=""),"",IF(AND($AA3&gt;0.1,COUNTIF(Services!$B:$B,$C3)=1),($D3*$J3)*((100-$AA3)/100),$D3*$J3)),"")</f>
        <v/>
      </c>
    </row>
    <row r="4" spans="1:29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M4" s="13"/>
      <c r="R4" s="19"/>
      <c r="X4" s="15"/>
      <c r="Y4" s="15"/>
      <c r="Z4" s="15"/>
      <c r="AA4" s="15"/>
      <c r="AB4" s="15"/>
      <c r="AC4" s="18"/>
    </row>
    <row r="5" spans="1:29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M5" s="13"/>
      <c r="R5" s="19"/>
      <c r="X5" s="15"/>
      <c r="Y5" s="15"/>
      <c r="Z5" s="15"/>
      <c r="AA5" s="15"/>
      <c r="AB5" s="15"/>
      <c r="AC5" s="18"/>
    </row>
    <row r="6" spans="1:29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M6" s="13"/>
      <c r="R6" s="19"/>
      <c r="AA6" s="15"/>
      <c r="AB6" s="15"/>
      <c r="AC6" s="18"/>
    </row>
    <row r="7" spans="1:29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M7" s="13"/>
      <c r="R7" s="19"/>
      <c r="AA7" s="15"/>
      <c r="AB7" s="15"/>
      <c r="AC7" s="18"/>
    </row>
    <row r="8" spans="1:29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M8" s="13"/>
      <c r="R8" s="19"/>
      <c r="AA8" s="15"/>
      <c r="AB8" s="15"/>
      <c r="AC8" s="18"/>
    </row>
    <row r="9" spans="1:29" x14ac:dyDescent="0.25">
      <c r="M9" s="13"/>
      <c r="R9" s="19"/>
      <c r="AC9" s="18"/>
    </row>
    <row r="10" spans="1:29" x14ac:dyDescent="0.25">
      <c r="M10" s="13"/>
      <c r="R10" s="19"/>
      <c r="AC10" s="18"/>
    </row>
    <row r="11" spans="1:29" x14ac:dyDescent="0.25">
      <c r="M11" s="13"/>
      <c r="R11" s="19"/>
      <c r="AC11" s="18"/>
    </row>
    <row r="12" spans="1:29" x14ac:dyDescent="0.25">
      <c r="M12" s="13"/>
      <c r="R12" s="19"/>
      <c r="AC12" s="18"/>
    </row>
    <row r="13" spans="1:29" x14ac:dyDescent="0.25">
      <c r="M13" s="13"/>
      <c r="R13" s="19"/>
      <c r="AC13" s="18"/>
    </row>
    <row r="14" spans="1:29" x14ac:dyDescent="0.25">
      <c r="M14" s="13"/>
      <c r="R14" s="19"/>
      <c r="AC14" s="18"/>
    </row>
    <row r="15" spans="1:29" x14ac:dyDescent="0.25">
      <c r="M15" s="13"/>
      <c r="R15" s="19"/>
      <c r="AC15" s="18"/>
    </row>
    <row r="16" spans="1:29" x14ac:dyDescent="0.25">
      <c r="M16" s="13"/>
      <c r="R16" s="19"/>
      <c r="AC16" s="18"/>
    </row>
    <row r="17" spans="13:29" x14ac:dyDescent="0.25">
      <c r="M17" s="13"/>
      <c r="R17" s="19"/>
      <c r="AC17" s="18"/>
    </row>
    <row r="18" spans="13:29" x14ac:dyDescent="0.25">
      <c r="M18" s="13"/>
      <c r="R18" s="19"/>
      <c r="AC18" s="18"/>
    </row>
    <row r="19" spans="13:29" x14ac:dyDescent="0.25">
      <c r="M19" s="13"/>
      <c r="R19" s="19"/>
      <c r="AC19" s="18"/>
    </row>
    <row r="20" spans="13:29" x14ac:dyDescent="0.25">
      <c r="M20" s="13"/>
      <c r="R20" s="19"/>
      <c r="AC20" s="18"/>
    </row>
    <row r="21" spans="13:29" x14ac:dyDescent="0.25">
      <c r="M21" s="13"/>
      <c r="R21" s="19"/>
      <c r="AC21" s="18"/>
    </row>
    <row r="22" spans="13:29" x14ac:dyDescent="0.25">
      <c r="M22" s="13"/>
      <c r="R22" s="19"/>
      <c r="AC22" s="18"/>
    </row>
    <row r="23" spans="13:29" x14ac:dyDescent="0.25">
      <c r="M23" s="13"/>
      <c r="R23" s="19"/>
      <c r="AC23" s="18"/>
    </row>
    <row r="24" spans="13:29" x14ac:dyDescent="0.25">
      <c r="M24" s="13"/>
      <c r="R24" s="19"/>
      <c r="AC24" s="18"/>
    </row>
    <row r="25" spans="13:29" x14ac:dyDescent="0.25">
      <c r="M25" s="13"/>
      <c r="R25" s="19"/>
      <c r="AC25" s="18"/>
    </row>
    <row r="26" spans="13:29" x14ac:dyDescent="0.25">
      <c r="M26" s="13"/>
      <c r="R26" s="19"/>
      <c r="AC26" s="18"/>
    </row>
    <row r="27" spans="13:29" x14ac:dyDescent="0.25">
      <c r="M27" s="13"/>
      <c r="R27" s="19"/>
      <c r="AC27" s="18"/>
    </row>
    <row r="28" spans="13:29" x14ac:dyDescent="0.25">
      <c r="M28" s="13"/>
      <c r="R28" s="19"/>
      <c r="AC28" s="18"/>
    </row>
    <row r="29" spans="13:29" x14ac:dyDescent="0.25">
      <c r="M29" s="13"/>
      <c r="R29" s="19"/>
      <c r="AC29" s="18"/>
    </row>
    <row r="30" spans="13:29" x14ac:dyDescent="0.25">
      <c r="M30" s="13"/>
      <c r="R30" s="19"/>
      <c r="AC30" s="18"/>
    </row>
    <row r="31" spans="13:29" x14ac:dyDescent="0.25">
      <c r="M31" s="13"/>
      <c r="R31" s="19"/>
      <c r="AC31" s="18"/>
    </row>
    <row r="32" spans="13:29" x14ac:dyDescent="0.25">
      <c r="M32" s="13"/>
      <c r="R32" s="19"/>
      <c r="AC32" s="18"/>
    </row>
    <row r="33" spans="13:29" x14ac:dyDescent="0.25">
      <c r="M33" s="13"/>
      <c r="R33" s="19"/>
      <c r="AC33" s="18"/>
    </row>
    <row r="34" spans="13:29" x14ac:dyDescent="0.25">
      <c r="M34" s="13"/>
      <c r="R34" s="19"/>
      <c r="AC34" s="18"/>
    </row>
    <row r="35" spans="13:29" x14ac:dyDescent="0.25">
      <c r="M35" s="13"/>
      <c r="R35" s="19"/>
      <c r="AC35" s="18"/>
    </row>
    <row r="36" spans="13:29" x14ac:dyDescent="0.25">
      <c r="M36" s="13"/>
      <c r="R36" s="19"/>
      <c r="AC36" s="18"/>
    </row>
    <row r="37" spans="13:29" x14ac:dyDescent="0.25">
      <c r="M37" s="13"/>
      <c r="R37" s="19"/>
      <c r="AC37" s="18"/>
    </row>
    <row r="38" spans="13:29" x14ac:dyDescent="0.25">
      <c r="M38" s="13"/>
      <c r="R38" s="19"/>
      <c r="AC38" s="18"/>
    </row>
    <row r="39" spans="13:29" x14ac:dyDescent="0.25">
      <c r="M39" s="13"/>
      <c r="R39" s="19"/>
      <c r="AC39" s="18"/>
    </row>
    <row r="40" spans="13:29" x14ac:dyDescent="0.25">
      <c r="M40" s="13"/>
      <c r="R40" s="19"/>
      <c r="AC40" s="18"/>
    </row>
    <row r="41" spans="13:29" x14ac:dyDescent="0.25">
      <c r="M41" s="13"/>
      <c r="R41" s="19"/>
      <c r="AC41" s="18"/>
    </row>
    <row r="42" spans="13:29" x14ac:dyDescent="0.25">
      <c r="M42" s="13"/>
      <c r="R42" s="19"/>
      <c r="AC42" s="18"/>
    </row>
    <row r="43" spans="13:29" x14ac:dyDescent="0.25">
      <c r="M43" s="13"/>
      <c r="R43" s="19"/>
      <c r="AC43" s="18"/>
    </row>
    <row r="44" spans="13:29" x14ac:dyDescent="0.25">
      <c r="M44" s="13"/>
      <c r="R44" s="19"/>
      <c r="AC44" s="18"/>
    </row>
    <row r="45" spans="13:29" x14ac:dyDescent="0.25">
      <c r="M45" s="13"/>
      <c r="R45" s="19"/>
      <c r="AC45" s="18"/>
    </row>
    <row r="46" spans="13:29" x14ac:dyDescent="0.25">
      <c r="M46" s="13"/>
      <c r="R46" s="19"/>
      <c r="AC46" s="18"/>
    </row>
    <row r="47" spans="13:29" x14ac:dyDescent="0.25">
      <c r="M47" s="13"/>
      <c r="R47" s="19"/>
      <c r="AC47" s="18"/>
    </row>
    <row r="48" spans="13:29" x14ac:dyDescent="0.25">
      <c r="M48" s="13"/>
      <c r="R48" s="19"/>
      <c r="AC48" s="18"/>
    </row>
    <row r="49" spans="13:29" x14ac:dyDescent="0.25">
      <c r="M49" s="13"/>
      <c r="R49" s="19"/>
      <c r="AC49" s="18"/>
    </row>
    <row r="50" spans="13:29" x14ac:dyDescent="0.25">
      <c r="M50" s="13"/>
      <c r="R50" s="19"/>
      <c r="AC50" s="18"/>
    </row>
    <row r="51" spans="13:29" x14ac:dyDescent="0.25">
      <c r="M51" s="13"/>
      <c r="R51" s="19"/>
      <c r="AC51" s="18"/>
    </row>
    <row r="52" spans="13:29" x14ac:dyDescent="0.25">
      <c r="M52" s="13"/>
      <c r="R52" s="19"/>
      <c r="AC52" s="18"/>
    </row>
    <row r="53" spans="13:29" x14ac:dyDescent="0.25">
      <c r="M53" s="13"/>
      <c r="R53" s="19"/>
      <c r="AC53" s="18"/>
    </row>
    <row r="54" spans="13:29" x14ac:dyDescent="0.25">
      <c r="M54" s="13"/>
      <c r="R54" s="19"/>
      <c r="AC54" s="18"/>
    </row>
    <row r="55" spans="13:29" x14ac:dyDescent="0.25">
      <c r="M55" s="13"/>
      <c r="R55" s="19"/>
      <c r="AC55" s="18"/>
    </row>
    <row r="56" spans="13:29" x14ac:dyDescent="0.25">
      <c r="M56" s="13"/>
      <c r="R56" s="19"/>
      <c r="AC56" s="18"/>
    </row>
    <row r="57" spans="13:29" x14ac:dyDescent="0.25">
      <c r="M57" s="13"/>
      <c r="R57" s="19"/>
      <c r="AC57" s="18"/>
    </row>
    <row r="58" spans="13:29" x14ac:dyDescent="0.25">
      <c r="M58" s="13"/>
      <c r="R58" s="19"/>
      <c r="AC58" s="18"/>
    </row>
    <row r="59" spans="13:29" x14ac:dyDescent="0.25">
      <c r="M59" s="13"/>
      <c r="R59" s="19"/>
      <c r="AC59" s="18"/>
    </row>
    <row r="60" spans="13:29" x14ac:dyDescent="0.25">
      <c r="M60" s="13"/>
      <c r="R60" s="19"/>
      <c r="AC60" s="18"/>
    </row>
    <row r="61" spans="13:29" x14ac:dyDescent="0.25">
      <c r="M61" s="13"/>
      <c r="R61" s="19"/>
      <c r="AC61" s="18"/>
    </row>
    <row r="62" spans="13:29" x14ac:dyDescent="0.25">
      <c r="M62" s="13"/>
      <c r="R62" s="19"/>
      <c r="AC62" s="18"/>
    </row>
    <row r="63" spans="13:29" x14ac:dyDescent="0.25">
      <c r="M63" s="13"/>
      <c r="R63" s="19"/>
      <c r="AC63" s="18"/>
    </row>
    <row r="64" spans="13:29" x14ac:dyDescent="0.25">
      <c r="M64" s="13"/>
      <c r="R64" s="19"/>
      <c r="AC64" s="18"/>
    </row>
    <row r="65" spans="13:29" x14ac:dyDescent="0.25">
      <c r="M65" s="13"/>
      <c r="R65" s="19"/>
      <c r="AC65" s="18"/>
    </row>
    <row r="66" spans="13:29" x14ac:dyDescent="0.25">
      <c r="M66" s="13"/>
      <c r="R66" s="19"/>
      <c r="AC66" s="18"/>
    </row>
    <row r="67" spans="13:29" x14ac:dyDescent="0.25">
      <c r="M67" s="13"/>
      <c r="R67" s="19"/>
      <c r="AC67" s="18"/>
    </row>
    <row r="68" spans="13:29" x14ac:dyDescent="0.25">
      <c r="M68" s="13"/>
      <c r="R68" s="19"/>
      <c r="AC68" s="18"/>
    </row>
    <row r="69" spans="13:29" x14ac:dyDescent="0.25">
      <c r="M69" s="13"/>
      <c r="R69" s="19"/>
      <c r="AC69" s="18"/>
    </row>
    <row r="70" spans="13:29" x14ac:dyDescent="0.25">
      <c r="M70" s="13"/>
      <c r="R70" s="19"/>
      <c r="AC70" s="18"/>
    </row>
    <row r="71" spans="13:29" x14ac:dyDescent="0.25">
      <c r="M71" s="13"/>
      <c r="R71" s="19"/>
      <c r="AC71" s="18"/>
    </row>
    <row r="72" spans="13:29" x14ac:dyDescent="0.25">
      <c r="M72" s="13"/>
      <c r="R72" s="19"/>
      <c r="AC72" s="18"/>
    </row>
    <row r="73" spans="13:29" x14ac:dyDescent="0.25">
      <c r="M73" s="13"/>
      <c r="R73" s="19"/>
      <c r="AC73" s="18"/>
    </row>
    <row r="74" spans="13:29" x14ac:dyDescent="0.25">
      <c r="M74" s="13"/>
      <c r="R74" s="19"/>
      <c r="AC74" s="18"/>
    </row>
    <row r="75" spans="13:29" x14ac:dyDescent="0.25">
      <c r="M75" s="13"/>
      <c r="R75" s="19"/>
      <c r="AC75" s="18"/>
    </row>
    <row r="76" spans="13:29" x14ac:dyDescent="0.25">
      <c r="M76" s="13"/>
      <c r="R76" s="19"/>
      <c r="AC76" s="18"/>
    </row>
    <row r="77" spans="13:29" x14ac:dyDescent="0.25">
      <c r="M77" s="13"/>
      <c r="R77" s="19"/>
      <c r="AC77" s="18"/>
    </row>
    <row r="78" spans="13:29" x14ac:dyDescent="0.25">
      <c r="M78" s="13"/>
      <c r="R78" s="19"/>
      <c r="AC78" s="18"/>
    </row>
    <row r="79" spans="13:29" x14ac:dyDescent="0.25">
      <c r="M79" s="13"/>
      <c r="R79" s="19"/>
      <c r="AC79" s="18"/>
    </row>
    <row r="80" spans="13:29" x14ac:dyDescent="0.25">
      <c r="M80" s="13"/>
      <c r="R80" s="19"/>
      <c r="AC80" s="18"/>
    </row>
    <row r="81" spans="13:29" x14ac:dyDescent="0.25">
      <c r="M81" s="13"/>
      <c r="R81" s="19"/>
      <c r="AC81" s="18"/>
    </row>
    <row r="82" spans="13:29" x14ac:dyDescent="0.25">
      <c r="M82" s="13"/>
      <c r="R82" s="19"/>
      <c r="AC82" s="18"/>
    </row>
    <row r="83" spans="13:29" x14ac:dyDescent="0.25">
      <c r="M83" s="13"/>
      <c r="R83" s="19"/>
      <c r="AC83" s="18"/>
    </row>
    <row r="84" spans="13:29" x14ac:dyDescent="0.25">
      <c r="M84" s="13"/>
      <c r="R84" s="19"/>
      <c r="AC84" s="18"/>
    </row>
    <row r="85" spans="13:29" x14ac:dyDescent="0.25">
      <c r="M85" s="13"/>
      <c r="R85" s="19"/>
      <c r="AC85" s="18"/>
    </row>
    <row r="86" spans="13:29" x14ac:dyDescent="0.25">
      <c r="M86" s="13"/>
      <c r="R86" s="19"/>
      <c r="AC86" s="18"/>
    </row>
    <row r="87" spans="13:29" x14ac:dyDescent="0.25">
      <c r="M87" s="13"/>
      <c r="R87" s="19"/>
      <c r="AC87" s="18"/>
    </row>
    <row r="88" spans="13:29" x14ac:dyDescent="0.25">
      <c r="M88" s="13"/>
      <c r="R88" s="19"/>
      <c r="AC88" s="18"/>
    </row>
    <row r="89" spans="13:29" x14ac:dyDescent="0.25">
      <c r="M89" s="13"/>
      <c r="R89" s="19"/>
      <c r="AC89" s="18"/>
    </row>
    <row r="90" spans="13:29" x14ac:dyDescent="0.25">
      <c r="M90" s="13"/>
      <c r="R90" s="19"/>
      <c r="AC90" s="18"/>
    </row>
    <row r="91" spans="13:29" x14ac:dyDescent="0.25">
      <c r="M91" s="13"/>
      <c r="R91" s="19"/>
      <c r="AC91" s="18"/>
    </row>
    <row r="92" spans="13:29" x14ac:dyDescent="0.25">
      <c r="M92" s="13"/>
      <c r="R92" s="19"/>
      <c r="AC92" s="18"/>
    </row>
    <row r="93" spans="13:29" x14ac:dyDescent="0.25">
      <c r="M93" s="13"/>
      <c r="R93" s="19"/>
      <c r="AC93" s="18"/>
    </row>
    <row r="94" spans="13:29" x14ac:dyDescent="0.25">
      <c r="M94" s="13"/>
      <c r="R94" s="19"/>
      <c r="AC94" s="18"/>
    </row>
    <row r="95" spans="13:29" x14ac:dyDescent="0.25">
      <c r="M95" s="13"/>
      <c r="R95" s="19"/>
      <c r="AC95" s="18"/>
    </row>
    <row r="96" spans="13:29" x14ac:dyDescent="0.25">
      <c r="M96" s="13"/>
      <c r="R96" s="19"/>
      <c r="AC96" s="18"/>
    </row>
    <row r="97" spans="13:29" x14ac:dyDescent="0.25">
      <c r="M97" s="13"/>
      <c r="R97" s="19"/>
      <c r="AC97" s="18"/>
    </row>
    <row r="98" spans="13:29" x14ac:dyDescent="0.25">
      <c r="M98" s="13"/>
      <c r="R98" s="19"/>
      <c r="AC98" s="18"/>
    </row>
    <row r="99" spans="13:29" x14ac:dyDescent="0.25">
      <c r="M99" s="13"/>
      <c r="R99" s="19"/>
      <c r="AC99" s="18"/>
    </row>
    <row r="100" spans="13:29" x14ac:dyDescent="0.25">
      <c r="M100" s="13"/>
      <c r="R100" s="19"/>
      <c r="AC100" s="18"/>
    </row>
    <row r="101" spans="13:29" x14ac:dyDescent="0.25">
      <c r="M101" s="13"/>
      <c r="R101" s="19"/>
      <c r="AC101" s="18"/>
    </row>
    <row r="102" spans="13:29" x14ac:dyDescent="0.25">
      <c r="M102" s="13"/>
      <c r="R102" s="19"/>
      <c r="AC102" s="18"/>
    </row>
    <row r="103" spans="13:29" x14ac:dyDescent="0.25">
      <c r="M103" s="13"/>
      <c r="R103" s="19"/>
      <c r="AC103" s="18"/>
    </row>
    <row r="104" spans="13:29" x14ac:dyDescent="0.25">
      <c r="M104" s="13"/>
      <c r="R104" s="19"/>
      <c r="AC104" s="18"/>
    </row>
    <row r="105" spans="13:29" x14ac:dyDescent="0.25">
      <c r="M105" s="13"/>
      <c r="R105" s="19"/>
      <c r="AC105" s="18"/>
    </row>
    <row r="106" spans="13:29" x14ac:dyDescent="0.25">
      <c r="M106" s="13"/>
      <c r="R106" s="19"/>
      <c r="AC106" s="18"/>
    </row>
    <row r="107" spans="13:29" x14ac:dyDescent="0.25">
      <c r="M107" s="13"/>
      <c r="R107" s="19"/>
      <c r="AC107" s="18"/>
    </row>
    <row r="108" spans="13:29" x14ac:dyDescent="0.25">
      <c r="M108" s="13"/>
      <c r="R108" s="19"/>
      <c r="AC108" s="18"/>
    </row>
    <row r="109" spans="13:29" x14ac:dyDescent="0.25">
      <c r="M109" s="13"/>
      <c r="R109" s="19"/>
      <c r="AC109" s="18"/>
    </row>
    <row r="110" spans="13:29" x14ac:dyDescent="0.25">
      <c r="M110" s="13"/>
      <c r="R110" s="19"/>
      <c r="AC110" s="18"/>
    </row>
    <row r="111" spans="13:29" x14ac:dyDescent="0.25">
      <c r="M111" s="13"/>
      <c r="R111" s="19"/>
      <c r="AC111" s="18"/>
    </row>
    <row r="112" spans="13:29" x14ac:dyDescent="0.25">
      <c r="M112" s="13"/>
      <c r="R112" s="19"/>
      <c r="AC112" s="18"/>
    </row>
    <row r="113" spans="13:29" x14ac:dyDescent="0.25">
      <c r="M113" s="13"/>
      <c r="R113" s="19"/>
      <c r="AC113" s="18"/>
    </row>
    <row r="114" spans="13:29" x14ac:dyDescent="0.25">
      <c r="M114" s="13"/>
      <c r="R114" s="19"/>
      <c r="AC114" s="18"/>
    </row>
    <row r="115" spans="13:29" x14ac:dyDescent="0.25">
      <c r="M115" s="13"/>
      <c r="R115" s="19"/>
      <c r="AC115" s="18"/>
    </row>
    <row r="116" spans="13:29" x14ac:dyDescent="0.25">
      <c r="M116" s="13"/>
      <c r="R116" s="19"/>
      <c r="AC116" s="18"/>
    </row>
    <row r="117" spans="13:29" x14ac:dyDescent="0.25">
      <c r="M117" s="13"/>
      <c r="R117" s="19"/>
      <c r="AC117" s="18"/>
    </row>
    <row r="118" spans="13:29" x14ac:dyDescent="0.25">
      <c r="M118" s="13"/>
      <c r="R118" s="19"/>
      <c r="AC118" s="18"/>
    </row>
    <row r="119" spans="13:29" x14ac:dyDescent="0.25">
      <c r="M119" s="13"/>
      <c r="R119" s="19"/>
      <c r="AC119" s="18"/>
    </row>
    <row r="120" spans="13:29" x14ac:dyDescent="0.25">
      <c r="M120" s="13"/>
      <c r="R120" s="19"/>
      <c r="AC120" s="18"/>
    </row>
    <row r="121" spans="13:29" x14ac:dyDescent="0.25">
      <c r="M121" s="13"/>
      <c r="R121" s="19"/>
      <c r="AC121" s="18"/>
    </row>
    <row r="122" spans="13:29" x14ac:dyDescent="0.25">
      <c r="M122" s="13"/>
      <c r="R122" s="19"/>
      <c r="AC122" s="18"/>
    </row>
    <row r="123" spans="13:29" x14ac:dyDescent="0.25">
      <c r="M123" s="13"/>
      <c r="R123" s="19"/>
      <c r="AC123" s="18"/>
    </row>
    <row r="124" spans="13:29" x14ac:dyDescent="0.25">
      <c r="M124" s="13"/>
      <c r="R124" s="19"/>
      <c r="AC124" s="18"/>
    </row>
    <row r="125" spans="13:29" x14ac:dyDescent="0.25">
      <c r="M125" s="13"/>
      <c r="R125" s="19"/>
      <c r="AC125" s="18"/>
    </row>
    <row r="126" spans="13:29" x14ac:dyDescent="0.25">
      <c r="M126" s="13"/>
      <c r="R126" s="19"/>
      <c r="AC126" s="18"/>
    </row>
    <row r="127" spans="13:29" x14ac:dyDescent="0.25">
      <c r="M127" s="13"/>
      <c r="R127" s="19"/>
      <c r="AC127" s="18"/>
    </row>
    <row r="128" spans="13:29" x14ac:dyDescent="0.25">
      <c r="M128" s="13"/>
      <c r="R128" s="19"/>
      <c r="AC128" s="18"/>
    </row>
    <row r="129" spans="13:29" x14ac:dyDescent="0.25">
      <c r="M129" s="13"/>
      <c r="R129" s="19"/>
      <c r="AC129" s="18"/>
    </row>
    <row r="130" spans="13:29" x14ac:dyDescent="0.25">
      <c r="M130" s="13"/>
      <c r="R130" s="19"/>
      <c r="AC130" s="18"/>
    </row>
    <row r="131" spans="13:29" x14ac:dyDescent="0.25">
      <c r="M131" s="13"/>
      <c r="R131" s="19"/>
      <c r="AC131" s="18"/>
    </row>
    <row r="132" spans="13:29" x14ac:dyDescent="0.25">
      <c r="M132" s="13"/>
      <c r="R132" s="19"/>
      <c r="AC132" s="18"/>
    </row>
    <row r="133" spans="13:29" x14ac:dyDescent="0.25">
      <c r="M133" s="13"/>
      <c r="R133" s="19"/>
      <c r="AC133" s="18"/>
    </row>
    <row r="134" spans="13:29" x14ac:dyDescent="0.25">
      <c r="M134" s="13"/>
      <c r="R134" s="19"/>
      <c r="AC134" s="18"/>
    </row>
    <row r="135" spans="13:29" x14ac:dyDescent="0.25">
      <c r="M135" s="13"/>
      <c r="R135" s="19"/>
      <c r="AC135" s="18"/>
    </row>
    <row r="136" spans="13:29" x14ac:dyDescent="0.25">
      <c r="M136" s="13"/>
      <c r="R136" s="19"/>
      <c r="AC136" s="18"/>
    </row>
    <row r="137" spans="13:29" x14ac:dyDescent="0.25">
      <c r="M137" s="13"/>
      <c r="R137" s="19"/>
      <c r="AC137" s="18"/>
    </row>
    <row r="138" spans="13:29" x14ac:dyDescent="0.25">
      <c r="M138" s="13"/>
      <c r="R138" s="19"/>
      <c r="AC138" s="18"/>
    </row>
    <row r="139" spans="13:29" x14ac:dyDescent="0.25">
      <c r="M139" s="13"/>
      <c r="R139" s="19"/>
      <c r="AC139" s="18"/>
    </row>
    <row r="140" spans="13:29" x14ac:dyDescent="0.25">
      <c r="M140" s="13"/>
      <c r="R140" s="19"/>
      <c r="AC140" s="18"/>
    </row>
    <row r="141" spans="13:29" x14ac:dyDescent="0.25">
      <c r="M141" s="13"/>
      <c r="R141" s="19"/>
      <c r="AC141" s="18"/>
    </row>
    <row r="142" spans="13:29" x14ac:dyDescent="0.25">
      <c r="M142" s="13"/>
      <c r="R142" s="19"/>
      <c r="AC142" s="18"/>
    </row>
    <row r="143" spans="13:29" x14ac:dyDescent="0.25">
      <c r="M143" s="13"/>
      <c r="R143" s="19"/>
      <c r="AC143" s="18"/>
    </row>
    <row r="144" spans="13:29" x14ac:dyDescent="0.25">
      <c r="M144" s="13"/>
      <c r="R144" s="19"/>
      <c r="AC144" s="18"/>
    </row>
    <row r="145" spans="13:29" x14ac:dyDescent="0.25">
      <c r="M145" s="13"/>
      <c r="R145" s="19"/>
      <c r="AC145" s="18"/>
    </row>
    <row r="146" spans="13:29" x14ac:dyDescent="0.25">
      <c r="M146" s="13"/>
      <c r="R146" s="19"/>
      <c r="AC146" s="18"/>
    </row>
    <row r="147" spans="13:29" x14ac:dyDescent="0.25">
      <c r="M147" s="13"/>
      <c r="R147" s="19"/>
      <c r="AC147" s="18"/>
    </row>
    <row r="148" spans="13:29" x14ac:dyDescent="0.25">
      <c r="M148" s="13"/>
      <c r="R148" s="19"/>
      <c r="AC148" s="18"/>
    </row>
    <row r="149" spans="13:29" x14ac:dyDescent="0.25">
      <c r="M149" s="13"/>
      <c r="R149" s="19"/>
      <c r="AC149" s="18"/>
    </row>
    <row r="150" spans="13:29" x14ac:dyDescent="0.25">
      <c r="M150" s="13"/>
      <c r="R150" s="19"/>
      <c r="AC150" s="18"/>
    </row>
    <row r="151" spans="13:29" x14ac:dyDescent="0.25">
      <c r="M151" s="13"/>
      <c r="R151" s="19"/>
      <c r="AC151" s="18"/>
    </row>
    <row r="152" spans="13:29" x14ac:dyDescent="0.25">
      <c r="M152" s="13"/>
      <c r="R152" s="19"/>
      <c r="AC152" s="18"/>
    </row>
    <row r="153" spans="13:29" x14ac:dyDescent="0.25">
      <c r="M153" s="13"/>
      <c r="R153" s="19"/>
      <c r="AC153" s="18"/>
    </row>
    <row r="154" spans="13:29" x14ac:dyDescent="0.25">
      <c r="M154" s="13"/>
      <c r="R154" s="19"/>
      <c r="AC154" s="18"/>
    </row>
    <row r="155" spans="13:29" x14ac:dyDescent="0.25">
      <c r="M155" s="13"/>
      <c r="R155" s="19"/>
      <c r="AC155" s="18"/>
    </row>
    <row r="156" spans="13:29" x14ac:dyDescent="0.25">
      <c r="M156" s="13"/>
      <c r="R156" s="19"/>
      <c r="AC156" s="18"/>
    </row>
    <row r="157" spans="13:29" x14ac:dyDescent="0.25">
      <c r="M157" s="13"/>
      <c r="R157" s="19"/>
      <c r="AC157" s="18"/>
    </row>
    <row r="158" spans="13:29" x14ac:dyDescent="0.25">
      <c r="M158" s="13"/>
      <c r="R158" s="19"/>
      <c r="AC158" s="18"/>
    </row>
    <row r="159" spans="13:29" x14ac:dyDescent="0.25">
      <c r="M159" s="13"/>
      <c r="R159" s="19"/>
      <c r="AC159" s="18"/>
    </row>
    <row r="160" spans="13:29" x14ac:dyDescent="0.25">
      <c r="M160" s="13"/>
      <c r="R160" s="19"/>
      <c r="AC160" s="18"/>
    </row>
    <row r="161" spans="13:29" x14ac:dyDescent="0.25">
      <c r="M161" s="13"/>
      <c r="R161" s="19"/>
      <c r="AC161" s="18"/>
    </row>
    <row r="162" spans="13:29" x14ac:dyDescent="0.25">
      <c r="M162" s="13"/>
      <c r="R162" s="19"/>
      <c r="AC162" s="18"/>
    </row>
    <row r="163" spans="13:29" x14ac:dyDescent="0.25">
      <c r="M163" s="13"/>
      <c r="R163" s="19"/>
      <c r="AC163" s="18"/>
    </row>
    <row r="164" spans="13:29" x14ac:dyDescent="0.25">
      <c r="M164" s="13"/>
      <c r="R164" s="19"/>
      <c r="AC164" s="18"/>
    </row>
    <row r="165" spans="13:29" x14ac:dyDescent="0.25">
      <c r="M165" s="13"/>
      <c r="R165" s="19"/>
      <c r="AC165" s="18"/>
    </row>
    <row r="166" spans="13:29" x14ac:dyDescent="0.25">
      <c r="M166" s="13"/>
      <c r="R166" s="19"/>
      <c r="AC166" s="18"/>
    </row>
    <row r="167" spans="13:29" x14ac:dyDescent="0.25">
      <c r="M167" s="13"/>
      <c r="R167" s="19"/>
      <c r="AC167" s="18"/>
    </row>
    <row r="168" spans="13:29" x14ac:dyDescent="0.25">
      <c r="M168" s="13"/>
      <c r="R168" s="19"/>
      <c r="AC168" s="18"/>
    </row>
    <row r="169" spans="13:29" x14ac:dyDescent="0.25">
      <c r="M169" s="13"/>
      <c r="R169" s="19"/>
      <c r="AC169" s="18"/>
    </row>
    <row r="170" spans="13:29" x14ac:dyDescent="0.25">
      <c r="M170" s="13"/>
      <c r="R170" s="19"/>
      <c r="AC170" s="18"/>
    </row>
    <row r="171" spans="13:29" x14ac:dyDescent="0.25">
      <c r="M171" s="13"/>
      <c r="R171" s="19"/>
      <c r="AC171" s="18"/>
    </row>
    <row r="172" spans="13:29" x14ac:dyDescent="0.25">
      <c r="M172" s="13"/>
      <c r="R172" s="19"/>
      <c r="AC172" s="18"/>
    </row>
    <row r="173" spans="13:29" x14ac:dyDescent="0.25">
      <c r="M173" s="13"/>
      <c r="R173" s="19"/>
      <c r="AC173" s="18"/>
    </row>
    <row r="174" spans="13:29" x14ac:dyDescent="0.25">
      <c r="M174" s="13"/>
      <c r="R174" s="19"/>
      <c r="AC174" s="18"/>
    </row>
    <row r="175" spans="13:29" x14ac:dyDescent="0.25">
      <c r="M175" s="13"/>
      <c r="R175" s="19"/>
      <c r="AC175" s="18"/>
    </row>
    <row r="176" spans="13:29" x14ac:dyDescent="0.25">
      <c r="M176" s="13"/>
      <c r="R176" s="19"/>
      <c r="AC176" s="18"/>
    </row>
    <row r="177" spans="13:29" x14ac:dyDescent="0.25">
      <c r="M177" s="13"/>
      <c r="R177" s="19"/>
      <c r="AC177" s="18"/>
    </row>
    <row r="178" spans="13:29" x14ac:dyDescent="0.25">
      <c r="M178" s="13"/>
      <c r="R178" s="19"/>
      <c r="AC178" s="18"/>
    </row>
    <row r="179" spans="13:29" x14ac:dyDescent="0.25">
      <c r="M179" s="13"/>
      <c r="R179" s="19"/>
      <c r="AC179" s="18"/>
    </row>
    <row r="180" spans="13:29" x14ac:dyDescent="0.25">
      <c r="M180" s="13"/>
      <c r="R180" s="19"/>
      <c r="AC180" s="18"/>
    </row>
    <row r="181" spans="13:29" x14ac:dyDescent="0.25">
      <c r="M181" s="13"/>
      <c r="R181" s="19"/>
      <c r="AC181" s="18"/>
    </row>
    <row r="182" spans="13:29" x14ac:dyDescent="0.25">
      <c r="M182" s="13"/>
      <c r="R182" s="19"/>
      <c r="AC182" s="18"/>
    </row>
    <row r="183" spans="13:29" x14ac:dyDescent="0.25">
      <c r="M183" s="13"/>
      <c r="R183" s="19"/>
      <c r="AC183" s="18"/>
    </row>
    <row r="184" spans="13:29" x14ac:dyDescent="0.25">
      <c r="M184" s="13"/>
      <c r="R184" s="19"/>
      <c r="AC184" s="18"/>
    </row>
    <row r="185" spans="13:29" x14ac:dyDescent="0.25">
      <c r="M185" s="13"/>
      <c r="R185" s="19"/>
      <c r="AC185" s="18"/>
    </row>
    <row r="186" spans="13:29" x14ac:dyDescent="0.25">
      <c r="M186" s="13"/>
      <c r="R186" s="19"/>
      <c r="AC186" s="18"/>
    </row>
    <row r="187" spans="13:29" x14ac:dyDescent="0.25">
      <c r="M187" s="13"/>
      <c r="R187" s="19"/>
      <c r="AC187" s="18"/>
    </row>
    <row r="188" spans="13:29" x14ac:dyDescent="0.25">
      <c r="M188" s="13"/>
      <c r="R188" s="19"/>
      <c r="AC188" s="18"/>
    </row>
    <row r="189" spans="13:29" x14ac:dyDescent="0.25">
      <c r="M189" s="13"/>
      <c r="R189" s="19"/>
      <c r="AC189" s="18"/>
    </row>
    <row r="190" spans="13:29" x14ac:dyDescent="0.25">
      <c r="M190" s="13"/>
      <c r="R190" s="19"/>
      <c r="AC190" s="18"/>
    </row>
    <row r="191" spans="13:29" x14ac:dyDescent="0.25">
      <c r="M191" s="13"/>
      <c r="R191" s="19"/>
      <c r="AC191" s="18"/>
    </row>
    <row r="192" spans="13:29" x14ac:dyDescent="0.25">
      <c r="M192" s="13"/>
      <c r="R192" s="19"/>
      <c r="AC192" s="18"/>
    </row>
    <row r="193" spans="13:29" x14ac:dyDescent="0.25">
      <c r="M193" s="13"/>
      <c r="R193" s="19"/>
      <c r="AC193" s="18"/>
    </row>
    <row r="194" spans="13:29" x14ac:dyDescent="0.25">
      <c r="M194" s="13"/>
      <c r="R194" s="19"/>
      <c r="AC194" s="18"/>
    </row>
    <row r="195" spans="13:29" x14ac:dyDescent="0.25">
      <c r="M195" s="13"/>
      <c r="R195" s="19"/>
      <c r="AC195" s="18"/>
    </row>
    <row r="196" spans="13:29" x14ac:dyDescent="0.25">
      <c r="M196" s="13"/>
      <c r="R196" s="19"/>
      <c r="AC196" s="18"/>
    </row>
    <row r="197" spans="13:29" x14ac:dyDescent="0.25">
      <c r="M197" s="13"/>
      <c r="R197" s="19"/>
      <c r="AC197" s="18"/>
    </row>
    <row r="198" spans="13:29" x14ac:dyDescent="0.25">
      <c r="M198" s="13"/>
      <c r="R198" s="19"/>
      <c r="AC198" s="18"/>
    </row>
    <row r="199" spans="13:29" x14ac:dyDescent="0.25">
      <c r="M199" s="13"/>
      <c r="R199" s="19"/>
      <c r="AC199" s="18"/>
    </row>
    <row r="200" spans="13:29" x14ac:dyDescent="0.25">
      <c r="M200" s="13"/>
      <c r="R200" s="19"/>
      <c r="AC200" s="18"/>
    </row>
    <row r="201" spans="13:29" x14ac:dyDescent="0.25">
      <c r="M201" s="13"/>
      <c r="R201" s="19"/>
      <c r="AC201" s="18"/>
    </row>
    <row r="202" spans="13:29" x14ac:dyDescent="0.25">
      <c r="M202" s="13"/>
      <c r="R202" s="19"/>
      <c r="AC202" s="18"/>
    </row>
    <row r="203" spans="13:29" x14ac:dyDescent="0.25">
      <c r="M203" s="13"/>
      <c r="R203" s="19"/>
      <c r="AC203" s="18"/>
    </row>
    <row r="204" spans="13:29" x14ac:dyDescent="0.25">
      <c r="M204" s="13"/>
      <c r="R204" s="19"/>
      <c r="AC204" s="18"/>
    </row>
    <row r="205" spans="13:29" x14ac:dyDescent="0.25">
      <c r="M205" s="13"/>
      <c r="R205" s="19"/>
      <c r="AC205" s="18"/>
    </row>
    <row r="206" spans="13:29" x14ac:dyDescent="0.25">
      <c r="M206" s="13"/>
      <c r="R206" s="19"/>
      <c r="AC206" s="18"/>
    </row>
    <row r="207" spans="13:29" x14ac:dyDescent="0.25">
      <c r="M207" s="13"/>
      <c r="R207" s="19"/>
      <c r="AC207" s="18"/>
    </row>
    <row r="208" spans="13:29" x14ac:dyDescent="0.25">
      <c r="M208" s="13"/>
      <c r="R208" s="19"/>
      <c r="AC208" s="18"/>
    </row>
    <row r="209" spans="13:29" x14ac:dyDescent="0.25">
      <c r="M209" s="13"/>
      <c r="R209" s="19"/>
      <c r="AC209" s="18"/>
    </row>
    <row r="210" spans="13:29" x14ac:dyDescent="0.25">
      <c r="M210" s="13"/>
      <c r="R210" s="19"/>
      <c r="AC210" s="18"/>
    </row>
    <row r="211" spans="13:29" x14ac:dyDescent="0.25">
      <c r="M211" s="13"/>
      <c r="R211" s="19"/>
      <c r="AC211" s="18"/>
    </row>
    <row r="212" spans="13:29" x14ac:dyDescent="0.25">
      <c r="M212" s="13"/>
      <c r="R212" s="19"/>
      <c r="AC212" s="18"/>
    </row>
    <row r="213" spans="13:29" x14ac:dyDescent="0.25">
      <c r="M213" s="13"/>
      <c r="R213" s="19"/>
      <c r="AC213" s="18"/>
    </row>
    <row r="214" spans="13:29" x14ac:dyDescent="0.25">
      <c r="M214" s="13"/>
      <c r="R214" s="19"/>
      <c r="AC214" s="18"/>
    </row>
    <row r="215" spans="13:29" x14ac:dyDescent="0.25">
      <c r="M215" s="13"/>
      <c r="R215" s="19"/>
      <c r="AC215" s="18"/>
    </row>
    <row r="216" spans="13:29" x14ac:dyDescent="0.25">
      <c r="M216" s="13"/>
      <c r="R216" s="19"/>
      <c r="AC216" s="18"/>
    </row>
    <row r="217" spans="13:29" x14ac:dyDescent="0.25">
      <c r="M217" s="13"/>
      <c r="R217" s="19"/>
      <c r="AC217" s="18"/>
    </row>
    <row r="218" spans="13:29" x14ac:dyDescent="0.25">
      <c r="M218" s="13"/>
      <c r="R218" s="19"/>
      <c r="AC218" s="18"/>
    </row>
    <row r="219" spans="13:29" x14ac:dyDescent="0.25">
      <c r="M219" s="13"/>
      <c r="R219" s="19"/>
      <c r="AC219" s="18"/>
    </row>
    <row r="220" spans="13:29" x14ac:dyDescent="0.25">
      <c r="M220" s="13"/>
      <c r="R220" s="19"/>
      <c r="AC220" s="18"/>
    </row>
    <row r="221" spans="13:29" x14ac:dyDescent="0.25">
      <c r="M221" s="13"/>
      <c r="R221" s="19"/>
      <c r="AC221" s="18"/>
    </row>
    <row r="222" spans="13:29" x14ac:dyDescent="0.25">
      <c r="M222" s="13"/>
      <c r="R222" s="19"/>
      <c r="AC222" s="18"/>
    </row>
    <row r="223" spans="13:29" x14ac:dyDescent="0.25">
      <c r="M223" s="13"/>
      <c r="R223" s="19"/>
      <c r="AC223" s="18"/>
    </row>
    <row r="224" spans="13:29" x14ac:dyDescent="0.25">
      <c r="M224" s="13"/>
      <c r="R224" s="19"/>
      <c r="AC224" s="18"/>
    </row>
    <row r="225" spans="13:29" x14ac:dyDescent="0.25">
      <c r="M225" s="13"/>
      <c r="R225" s="19"/>
      <c r="AC225" s="18"/>
    </row>
    <row r="226" spans="13:29" x14ac:dyDescent="0.25">
      <c r="M226" s="13"/>
      <c r="R226" s="19"/>
      <c r="AC226" s="18"/>
    </row>
    <row r="227" spans="13:29" x14ac:dyDescent="0.25">
      <c r="M227" s="13"/>
      <c r="R227" s="19"/>
      <c r="AC227" s="18"/>
    </row>
    <row r="228" spans="13:29" x14ac:dyDescent="0.25">
      <c r="M228" s="13"/>
      <c r="R228" s="19"/>
      <c r="AC228" s="18"/>
    </row>
    <row r="229" spans="13:29" x14ac:dyDescent="0.25">
      <c r="M229" s="13"/>
      <c r="R229" s="19"/>
      <c r="AC229" s="18"/>
    </row>
    <row r="230" spans="13:29" x14ac:dyDescent="0.25">
      <c r="M230" s="13"/>
      <c r="R230" s="19"/>
      <c r="AC230" s="18"/>
    </row>
    <row r="231" spans="13:29" x14ac:dyDescent="0.25">
      <c r="M231" s="13"/>
      <c r="R231" s="19"/>
      <c r="AC231" s="18"/>
    </row>
    <row r="232" spans="13:29" x14ac:dyDescent="0.25">
      <c r="M232" s="13"/>
      <c r="R232" s="19"/>
      <c r="AC232" s="18"/>
    </row>
    <row r="233" spans="13:29" x14ac:dyDescent="0.25">
      <c r="M233" s="13"/>
      <c r="R233" s="19"/>
      <c r="AC233" s="18"/>
    </row>
    <row r="234" spans="13:29" x14ac:dyDescent="0.25">
      <c r="M234" s="13"/>
      <c r="R234" s="19"/>
      <c r="AC234" s="18"/>
    </row>
    <row r="235" spans="13:29" x14ac:dyDescent="0.25">
      <c r="M235" s="13"/>
      <c r="R235" s="19"/>
      <c r="AC235" s="18"/>
    </row>
    <row r="236" spans="13:29" x14ac:dyDescent="0.25">
      <c r="M236" s="13"/>
      <c r="R236" s="19"/>
      <c r="AC236" s="18"/>
    </row>
    <row r="237" spans="13:29" x14ac:dyDescent="0.25">
      <c r="M237" s="13"/>
      <c r="R237" s="19"/>
      <c r="AC237" s="18"/>
    </row>
    <row r="238" spans="13:29" x14ac:dyDescent="0.25">
      <c r="M238" s="13"/>
      <c r="R238" s="19"/>
      <c r="AC238" s="18"/>
    </row>
    <row r="239" spans="13:29" x14ac:dyDescent="0.25">
      <c r="M239" s="13"/>
      <c r="R239" s="19"/>
      <c r="AC239" s="18"/>
    </row>
    <row r="240" spans="13:29" x14ac:dyDescent="0.25">
      <c r="M240" s="13"/>
      <c r="R240" s="19"/>
      <c r="AC240" s="18"/>
    </row>
    <row r="241" spans="13:29" x14ac:dyDescent="0.25">
      <c r="M241" s="13"/>
      <c r="R241" s="19"/>
      <c r="AC241" s="18"/>
    </row>
    <row r="242" spans="13:29" x14ac:dyDescent="0.25">
      <c r="M242" s="13"/>
      <c r="R242" s="19"/>
      <c r="AC242" s="18"/>
    </row>
    <row r="243" spans="13:29" x14ac:dyDescent="0.25">
      <c r="M243" s="13"/>
      <c r="R243" s="19"/>
      <c r="AC243" s="18"/>
    </row>
    <row r="244" spans="13:29" x14ac:dyDescent="0.25">
      <c r="M244" s="13"/>
      <c r="R244" s="19"/>
      <c r="AC244" s="18"/>
    </row>
    <row r="245" spans="13:29" x14ac:dyDescent="0.25">
      <c r="M245" s="13"/>
      <c r="R245" s="19"/>
      <c r="AC245" s="18"/>
    </row>
    <row r="246" spans="13:29" x14ac:dyDescent="0.25">
      <c r="M246" s="13"/>
      <c r="R246" s="19"/>
      <c r="AC246" s="18"/>
    </row>
    <row r="247" spans="13:29" x14ac:dyDescent="0.25">
      <c r="M247" s="13"/>
      <c r="R247" s="19"/>
      <c r="AC247" s="18"/>
    </row>
    <row r="248" spans="13:29" x14ac:dyDescent="0.25">
      <c r="M248" s="13"/>
      <c r="R248" s="19"/>
      <c r="AC248" s="18"/>
    </row>
    <row r="249" spans="13:29" x14ac:dyDescent="0.25">
      <c r="M249" s="13"/>
      <c r="R249" s="19"/>
      <c r="AC249" s="18"/>
    </row>
    <row r="250" spans="13:29" x14ac:dyDescent="0.25">
      <c r="M250" s="13"/>
      <c r="R250" s="19"/>
      <c r="AC250" s="18"/>
    </row>
    <row r="251" spans="13:29" x14ac:dyDescent="0.25">
      <c r="M251" s="13"/>
      <c r="R251" s="19"/>
      <c r="AC251" s="18"/>
    </row>
    <row r="252" spans="13:29" x14ac:dyDescent="0.25">
      <c r="M252" s="13"/>
      <c r="R252" s="19"/>
      <c r="AC252" s="18"/>
    </row>
    <row r="253" spans="13:29" x14ac:dyDescent="0.25">
      <c r="M253" s="13"/>
      <c r="R253" s="19"/>
      <c r="AC253" s="18"/>
    </row>
    <row r="254" spans="13:29" x14ac:dyDescent="0.25">
      <c r="M254" s="13"/>
      <c r="R254" s="19"/>
      <c r="AC254" s="18"/>
    </row>
    <row r="255" spans="13:29" x14ac:dyDescent="0.25">
      <c r="M255" s="13"/>
      <c r="R255" s="19"/>
      <c r="AC255" s="18"/>
    </row>
    <row r="256" spans="13:29" x14ac:dyDescent="0.25">
      <c r="M256" s="13"/>
      <c r="R256" s="19"/>
      <c r="AC256" s="18"/>
    </row>
    <row r="257" spans="13:29" x14ac:dyDescent="0.25">
      <c r="M257" s="13"/>
      <c r="R257" s="19"/>
      <c r="AC257" s="18"/>
    </row>
    <row r="258" spans="13:29" x14ac:dyDescent="0.25">
      <c r="M258" s="13"/>
      <c r="R258" s="19"/>
      <c r="AC258" s="18"/>
    </row>
    <row r="259" spans="13:29" x14ac:dyDescent="0.25">
      <c r="M259" s="13"/>
      <c r="R259" s="19"/>
      <c r="AC259" s="18"/>
    </row>
    <row r="260" spans="13:29" x14ac:dyDescent="0.25">
      <c r="M260" s="13"/>
      <c r="R260" s="19"/>
      <c r="AC260" s="18"/>
    </row>
    <row r="261" spans="13:29" x14ac:dyDescent="0.25">
      <c r="M261" s="13"/>
      <c r="R261" s="19"/>
      <c r="AC261" s="18"/>
    </row>
    <row r="262" spans="13:29" x14ac:dyDescent="0.25">
      <c r="M262" s="13"/>
      <c r="R262" s="19"/>
      <c r="AC262" s="18"/>
    </row>
    <row r="263" spans="13:29" x14ac:dyDescent="0.25">
      <c r="M263" s="13"/>
      <c r="R263" s="19"/>
      <c r="AC263" s="18"/>
    </row>
    <row r="264" spans="13:29" x14ac:dyDescent="0.25">
      <c r="M264" s="13"/>
      <c r="R264" s="19"/>
      <c r="AC264" s="18"/>
    </row>
    <row r="265" spans="13:29" x14ac:dyDescent="0.25">
      <c r="M265" s="13"/>
      <c r="R265" s="19"/>
      <c r="AC265" s="18"/>
    </row>
    <row r="266" spans="13:29" x14ac:dyDescent="0.25">
      <c r="M266" s="13"/>
      <c r="R266" s="19"/>
      <c r="AC266" s="18"/>
    </row>
    <row r="267" spans="13:29" x14ac:dyDescent="0.25">
      <c r="M267" s="13"/>
      <c r="R267" s="19"/>
      <c r="AC267" s="18"/>
    </row>
    <row r="268" spans="13:29" x14ac:dyDescent="0.25">
      <c r="M268" s="13"/>
      <c r="R268" s="19"/>
      <c r="AC268" s="18"/>
    </row>
    <row r="269" spans="13:29" x14ac:dyDescent="0.25">
      <c r="M269" s="13"/>
      <c r="R269" s="19"/>
      <c r="AC269" s="18"/>
    </row>
    <row r="270" spans="13:29" x14ac:dyDescent="0.25">
      <c r="M270" s="13"/>
      <c r="R270" s="19"/>
      <c r="AC270" s="18"/>
    </row>
    <row r="271" spans="13:29" x14ac:dyDescent="0.25">
      <c r="M271" s="13"/>
      <c r="R271" s="19"/>
      <c r="AC271" s="18"/>
    </row>
    <row r="272" spans="13:29" x14ac:dyDescent="0.25">
      <c r="M272" s="13"/>
      <c r="R272" s="19"/>
      <c r="AC272" s="18"/>
    </row>
    <row r="273" spans="13:29" x14ac:dyDescent="0.25">
      <c r="M273" s="13"/>
      <c r="R273" s="19"/>
      <c r="AC273" s="18"/>
    </row>
    <row r="274" spans="13:29" x14ac:dyDescent="0.25">
      <c r="M274" s="13"/>
      <c r="R274" s="19"/>
      <c r="AC274" s="18"/>
    </row>
    <row r="275" spans="13:29" x14ac:dyDescent="0.25">
      <c r="M275" s="13"/>
      <c r="R275" s="19"/>
      <c r="AC275" s="18"/>
    </row>
    <row r="276" spans="13:29" x14ac:dyDescent="0.25">
      <c r="M276" s="13"/>
      <c r="R276" s="19"/>
      <c r="AC276" s="18"/>
    </row>
    <row r="277" spans="13:29" x14ac:dyDescent="0.25">
      <c r="M277" s="13"/>
      <c r="R277" s="19"/>
      <c r="AC277" s="18"/>
    </row>
    <row r="278" spans="13:29" x14ac:dyDescent="0.25">
      <c r="M278" s="13"/>
      <c r="R278" s="19"/>
      <c r="AC278" s="18"/>
    </row>
    <row r="279" spans="13:29" x14ac:dyDescent="0.25">
      <c r="M279" s="13"/>
      <c r="R279" s="19"/>
      <c r="AC279" s="18"/>
    </row>
    <row r="280" spans="13:29" x14ac:dyDescent="0.25">
      <c r="M280" s="13"/>
      <c r="R280" s="19"/>
      <c r="AC280" s="18"/>
    </row>
    <row r="281" spans="13:29" x14ac:dyDescent="0.25">
      <c r="M281" s="13"/>
      <c r="R281" s="19"/>
      <c r="AC281" s="18"/>
    </row>
    <row r="282" spans="13:29" x14ac:dyDescent="0.25">
      <c r="M282" s="13"/>
      <c r="R282" s="19"/>
      <c r="AC282" s="18"/>
    </row>
    <row r="283" spans="13:29" x14ac:dyDescent="0.25">
      <c r="M283" s="13"/>
      <c r="R283" s="19"/>
      <c r="AC283" s="18"/>
    </row>
    <row r="284" spans="13:29" x14ac:dyDescent="0.25">
      <c r="M284" s="13"/>
      <c r="R284" s="19"/>
      <c r="AC284" s="18"/>
    </row>
    <row r="285" spans="13:29" x14ac:dyDescent="0.25">
      <c r="M285" s="13"/>
      <c r="R285" s="19"/>
      <c r="AC285" s="18"/>
    </row>
    <row r="286" spans="13:29" x14ac:dyDescent="0.25">
      <c r="M286" s="13"/>
      <c r="R286" s="19"/>
      <c r="AC286" s="18"/>
    </row>
    <row r="287" spans="13:29" x14ac:dyDescent="0.25">
      <c r="M287" s="13"/>
      <c r="R287" s="19"/>
      <c r="AC287" s="18"/>
    </row>
    <row r="288" spans="13:29" x14ac:dyDescent="0.25">
      <c r="M288" s="13"/>
      <c r="R288" s="19"/>
      <c r="AC288" s="18"/>
    </row>
    <row r="289" spans="13:29" x14ac:dyDescent="0.25">
      <c r="M289" s="13"/>
      <c r="R289" s="19"/>
      <c r="AC289" s="18"/>
    </row>
    <row r="290" spans="13:29" x14ac:dyDescent="0.25">
      <c r="M290" s="13"/>
      <c r="R290" s="19"/>
      <c r="AC290" s="18"/>
    </row>
    <row r="291" spans="13:29" x14ac:dyDescent="0.25">
      <c r="M291" s="13"/>
      <c r="R291" s="19"/>
      <c r="AC291" s="18"/>
    </row>
    <row r="292" spans="13:29" x14ac:dyDescent="0.25">
      <c r="M292" s="13"/>
      <c r="R292" s="19"/>
      <c r="AC292" s="18"/>
    </row>
    <row r="293" spans="13:29" x14ac:dyDescent="0.25">
      <c r="M293" s="13"/>
      <c r="R293" s="19"/>
      <c r="AC293" s="18"/>
    </row>
    <row r="294" spans="13:29" x14ac:dyDescent="0.25">
      <c r="M294" s="13"/>
      <c r="R294" s="19"/>
      <c r="AC294" s="18"/>
    </row>
    <row r="295" spans="13:29" x14ac:dyDescent="0.25">
      <c r="M295" s="13"/>
      <c r="R295" s="19"/>
      <c r="AC295" s="18"/>
    </row>
    <row r="296" spans="13:29" x14ac:dyDescent="0.25">
      <c r="M296" s="13"/>
      <c r="R296" s="19"/>
      <c r="AC296" s="18"/>
    </row>
    <row r="297" spans="13:29" x14ac:dyDescent="0.25">
      <c r="M297" s="13"/>
      <c r="R297" s="19"/>
      <c r="AC297" s="18"/>
    </row>
    <row r="298" spans="13:29" x14ac:dyDescent="0.25">
      <c r="M298" s="13"/>
      <c r="R298" s="19"/>
      <c r="AC298" s="18"/>
    </row>
    <row r="299" spans="13:29" x14ac:dyDescent="0.25">
      <c r="M299" s="13"/>
      <c r="R299" s="19"/>
      <c r="AC299" s="18"/>
    </row>
    <row r="300" spans="13:29" x14ac:dyDescent="0.25">
      <c r="M300" s="13"/>
      <c r="R300" s="19"/>
      <c r="AC300" s="18"/>
    </row>
    <row r="301" spans="13:29" x14ac:dyDescent="0.25">
      <c r="M301" s="13"/>
      <c r="R301" s="19"/>
      <c r="AC301" s="18"/>
    </row>
    <row r="302" spans="13:29" x14ac:dyDescent="0.25">
      <c r="M302" s="13"/>
      <c r="R302" s="19"/>
      <c r="AC302" s="18"/>
    </row>
    <row r="303" spans="13:29" x14ac:dyDescent="0.25">
      <c r="M303" s="13"/>
      <c r="R303" s="19"/>
      <c r="AC303" s="18"/>
    </row>
    <row r="304" spans="13:29" x14ac:dyDescent="0.25">
      <c r="M304" s="13"/>
      <c r="R304" s="19"/>
      <c r="AC304" s="18"/>
    </row>
    <row r="305" spans="13:29" x14ac:dyDescent="0.25">
      <c r="M305" s="13"/>
      <c r="R305" s="19"/>
      <c r="AC305" s="18"/>
    </row>
    <row r="306" spans="13:29" x14ac:dyDescent="0.25">
      <c r="M306" s="13"/>
      <c r="R306" s="19"/>
      <c r="AC306" s="18"/>
    </row>
    <row r="307" spans="13:29" x14ac:dyDescent="0.25">
      <c r="M307" s="13"/>
      <c r="R307" s="19"/>
      <c r="AC307" s="18"/>
    </row>
    <row r="308" spans="13:29" x14ac:dyDescent="0.25">
      <c r="M308" s="13"/>
      <c r="R308" s="19"/>
      <c r="AC308" s="18"/>
    </row>
    <row r="309" spans="13:29" x14ac:dyDescent="0.25">
      <c r="M309" s="13"/>
      <c r="R309" s="19"/>
      <c r="AC309" s="18"/>
    </row>
    <row r="310" spans="13:29" x14ac:dyDescent="0.25">
      <c r="M310" s="13"/>
      <c r="R310" s="19"/>
      <c r="AC310" s="18"/>
    </row>
    <row r="311" spans="13:29" x14ac:dyDescent="0.25">
      <c r="M311" s="13"/>
      <c r="R311" s="19"/>
      <c r="AC311" s="18"/>
    </row>
    <row r="312" spans="13:29" x14ac:dyDescent="0.25">
      <c r="M312" s="13"/>
      <c r="R312" s="19"/>
      <c r="AC312" s="18"/>
    </row>
    <row r="313" spans="13:29" x14ac:dyDescent="0.25">
      <c r="M313" s="13"/>
      <c r="R313" s="19"/>
      <c r="AC313" s="18"/>
    </row>
    <row r="314" spans="13:29" x14ac:dyDescent="0.25">
      <c r="M314" s="13"/>
      <c r="R314" s="19"/>
      <c r="AC314" s="18"/>
    </row>
    <row r="315" spans="13:29" x14ac:dyDescent="0.25">
      <c r="M315" s="13"/>
      <c r="R315" s="19"/>
      <c r="AC315" s="18"/>
    </row>
    <row r="316" spans="13:29" x14ac:dyDescent="0.25">
      <c r="M316" s="13"/>
      <c r="R316" s="19"/>
      <c r="AC316" s="18"/>
    </row>
    <row r="317" spans="13:29" x14ac:dyDescent="0.25">
      <c r="M317" s="13"/>
      <c r="R317" s="19"/>
      <c r="AC317" s="18"/>
    </row>
    <row r="318" spans="13:29" x14ac:dyDescent="0.25">
      <c r="M318" s="13"/>
      <c r="R318" s="19"/>
      <c r="AC318" s="18"/>
    </row>
    <row r="319" spans="13:29" x14ac:dyDescent="0.25">
      <c r="M319" s="13"/>
      <c r="R319" s="19"/>
      <c r="AC319" s="18"/>
    </row>
    <row r="320" spans="13:29" x14ac:dyDescent="0.25">
      <c r="M320" s="13"/>
      <c r="R320" s="19"/>
      <c r="AC320" s="18"/>
    </row>
    <row r="321" spans="13:29" x14ac:dyDescent="0.25">
      <c r="M321" s="13"/>
      <c r="R321" s="19"/>
      <c r="AC321" s="18"/>
    </row>
    <row r="322" spans="13:29" x14ac:dyDescent="0.25">
      <c r="M322" s="13"/>
      <c r="R322" s="19"/>
      <c r="AC322" s="18"/>
    </row>
    <row r="323" spans="13:29" x14ac:dyDescent="0.25">
      <c r="M323" s="13"/>
      <c r="R323" s="19"/>
      <c r="AC323" s="18"/>
    </row>
    <row r="324" spans="13:29" x14ac:dyDescent="0.25">
      <c r="M324" s="13"/>
      <c r="R324" s="19"/>
      <c r="AC324" s="18"/>
    </row>
    <row r="325" spans="13:29" x14ac:dyDescent="0.25">
      <c r="M325" s="13"/>
      <c r="R325" s="19"/>
      <c r="AC325" s="18"/>
    </row>
    <row r="326" spans="13:29" x14ac:dyDescent="0.25">
      <c r="M326" s="13"/>
      <c r="R326" s="19"/>
      <c r="AC326" s="18"/>
    </row>
    <row r="327" spans="13:29" x14ac:dyDescent="0.25">
      <c r="M327" s="13"/>
      <c r="R327" s="19"/>
      <c r="AC327" s="18"/>
    </row>
    <row r="328" spans="13:29" x14ac:dyDescent="0.25">
      <c r="M328" s="13"/>
      <c r="R328" s="19"/>
      <c r="AC328" s="18"/>
    </row>
    <row r="329" spans="13:29" x14ac:dyDescent="0.25">
      <c r="M329" s="13"/>
      <c r="R329" s="19"/>
      <c r="AC329" s="18"/>
    </row>
    <row r="330" spans="13:29" x14ac:dyDescent="0.25">
      <c r="M330" s="13"/>
      <c r="R330" s="19"/>
      <c r="AC330" s="18"/>
    </row>
    <row r="331" spans="13:29" x14ac:dyDescent="0.25">
      <c r="M331" s="13"/>
      <c r="R331" s="19"/>
      <c r="AC331" s="18"/>
    </row>
    <row r="332" spans="13:29" x14ac:dyDescent="0.25">
      <c r="M332" s="13"/>
      <c r="R332" s="19"/>
      <c r="AC332" s="18"/>
    </row>
    <row r="333" spans="13:29" x14ac:dyDescent="0.25">
      <c r="M333" s="13"/>
      <c r="R333" s="19"/>
      <c r="AC333" s="18"/>
    </row>
    <row r="334" spans="13:29" x14ac:dyDescent="0.25">
      <c r="M334" s="13"/>
      <c r="R334" s="19"/>
      <c r="AC334" s="18"/>
    </row>
    <row r="335" spans="13:29" x14ac:dyDescent="0.25">
      <c r="M335" s="13"/>
      <c r="R335" s="19"/>
      <c r="AC335" s="18"/>
    </row>
    <row r="336" spans="13:29" x14ac:dyDescent="0.25">
      <c r="M336" s="13"/>
      <c r="R336" s="19"/>
      <c r="AC336" s="18"/>
    </row>
    <row r="337" spans="13:29" x14ac:dyDescent="0.25">
      <c r="M337" s="13"/>
      <c r="R337" s="19"/>
      <c r="AC337" s="18"/>
    </row>
    <row r="338" spans="13:29" x14ac:dyDescent="0.25">
      <c r="M338" s="13"/>
      <c r="R338" s="19"/>
      <c r="AC338" s="18"/>
    </row>
    <row r="339" spans="13:29" x14ac:dyDescent="0.25">
      <c r="M339" s="13"/>
      <c r="R339" s="19"/>
      <c r="AC339" s="18"/>
    </row>
    <row r="340" spans="13:29" x14ac:dyDescent="0.25">
      <c r="M340" s="13"/>
      <c r="R340" s="19"/>
      <c r="AC340" s="18"/>
    </row>
    <row r="341" spans="13:29" x14ac:dyDescent="0.25">
      <c r="M341" s="13"/>
      <c r="R341" s="19"/>
      <c r="AC341" s="18"/>
    </row>
    <row r="342" spans="13:29" x14ac:dyDescent="0.25">
      <c r="M342" s="13"/>
      <c r="R342" s="19"/>
      <c r="AC342" s="18"/>
    </row>
    <row r="343" spans="13:29" x14ac:dyDescent="0.25">
      <c r="M343" s="13"/>
      <c r="R343" s="19"/>
      <c r="AC343" s="18"/>
    </row>
    <row r="344" spans="13:29" x14ac:dyDescent="0.25">
      <c r="M344" s="13"/>
      <c r="R344" s="19"/>
      <c r="AC344" s="18"/>
    </row>
    <row r="345" spans="13:29" x14ac:dyDescent="0.25">
      <c r="M345" s="13"/>
      <c r="R345" s="19"/>
      <c r="AC345" s="18"/>
    </row>
    <row r="346" spans="13:29" x14ac:dyDescent="0.25">
      <c r="M346" s="13"/>
      <c r="R346" s="19"/>
      <c r="AC346" s="18"/>
    </row>
    <row r="347" spans="13:29" x14ac:dyDescent="0.25">
      <c r="M347" s="13"/>
      <c r="R347" s="19"/>
      <c r="AC347" s="18"/>
    </row>
    <row r="348" spans="13:29" x14ac:dyDescent="0.25">
      <c r="M348" s="13"/>
      <c r="R348" s="19"/>
      <c r="AC348" s="18"/>
    </row>
    <row r="349" spans="13:29" x14ac:dyDescent="0.25">
      <c r="M349" s="13"/>
      <c r="R349" s="19"/>
      <c r="AC349" s="18"/>
    </row>
    <row r="350" spans="13:29" x14ac:dyDescent="0.25">
      <c r="M350" s="13"/>
      <c r="R350" s="19"/>
      <c r="AC350" s="18"/>
    </row>
    <row r="351" spans="13:29" x14ac:dyDescent="0.25">
      <c r="M351" s="13"/>
      <c r="R351" s="19"/>
      <c r="AC351" s="18"/>
    </row>
    <row r="352" spans="13:29" x14ac:dyDescent="0.25">
      <c r="M352" s="13"/>
      <c r="R352" s="19"/>
      <c r="AC352" s="18"/>
    </row>
    <row r="353" spans="13:29" x14ac:dyDescent="0.25">
      <c r="M353" s="13"/>
      <c r="R353" s="19"/>
      <c r="AC353" s="18"/>
    </row>
    <row r="354" spans="13:29" x14ac:dyDescent="0.25">
      <c r="M354" s="13"/>
      <c r="R354" s="19"/>
      <c r="AC354" s="18"/>
    </row>
    <row r="355" spans="13:29" x14ac:dyDescent="0.25">
      <c r="M355" s="13"/>
      <c r="R355" s="19"/>
      <c r="AC355" s="18"/>
    </row>
    <row r="356" spans="13:29" x14ac:dyDescent="0.25">
      <c r="M356" s="13"/>
      <c r="R356" s="19"/>
      <c r="AC356" s="18"/>
    </row>
    <row r="357" spans="13:29" x14ac:dyDescent="0.25">
      <c r="M357" s="13"/>
      <c r="R357" s="19"/>
      <c r="AC357" s="18"/>
    </row>
    <row r="358" spans="13:29" x14ac:dyDescent="0.25">
      <c r="M358" s="13"/>
      <c r="R358" s="19"/>
      <c r="AC358" s="18"/>
    </row>
    <row r="359" spans="13:29" x14ac:dyDescent="0.25">
      <c r="M359" s="13"/>
      <c r="R359" s="19"/>
      <c r="AC359" s="18"/>
    </row>
    <row r="360" spans="13:29" x14ac:dyDescent="0.25">
      <c r="M360" s="13"/>
      <c r="R360" s="19"/>
      <c r="AC360" s="18"/>
    </row>
    <row r="361" spans="13:29" x14ac:dyDescent="0.25">
      <c r="M361" s="13"/>
      <c r="R361" s="19"/>
      <c r="AC361" s="18"/>
    </row>
    <row r="362" spans="13:29" x14ac:dyDescent="0.25">
      <c r="M362" s="13"/>
      <c r="R362" s="19"/>
      <c r="AC362" s="18"/>
    </row>
    <row r="363" spans="13:29" x14ac:dyDescent="0.25">
      <c r="M363" s="13"/>
      <c r="R363" s="19"/>
      <c r="AC363" s="18"/>
    </row>
    <row r="364" spans="13:29" x14ac:dyDescent="0.25">
      <c r="M364" s="13"/>
      <c r="R364" s="19"/>
      <c r="AC364" s="18"/>
    </row>
    <row r="365" spans="13:29" x14ac:dyDescent="0.25">
      <c r="M365" s="13"/>
      <c r="R365" s="19"/>
      <c r="AC365" s="18"/>
    </row>
    <row r="366" spans="13:29" x14ac:dyDescent="0.25">
      <c r="M366" s="13"/>
      <c r="R366" s="19"/>
      <c r="AC366" s="18"/>
    </row>
    <row r="367" spans="13:29" x14ac:dyDescent="0.25">
      <c r="M367" s="13"/>
      <c r="R367" s="19"/>
      <c r="AC367" s="18"/>
    </row>
    <row r="368" spans="13:29" x14ac:dyDescent="0.25">
      <c r="M368" s="13"/>
      <c r="R368" s="19"/>
      <c r="AC368" s="18"/>
    </row>
    <row r="369" spans="13:29" x14ac:dyDescent="0.25">
      <c r="M369" s="13"/>
      <c r="R369" s="19"/>
      <c r="AC369" s="18"/>
    </row>
    <row r="370" spans="13:29" x14ac:dyDescent="0.25">
      <c r="M370" s="13"/>
      <c r="R370" s="19"/>
      <c r="AC370" s="18"/>
    </row>
    <row r="371" spans="13:29" x14ac:dyDescent="0.25">
      <c r="M371" s="13"/>
      <c r="R371" s="19"/>
      <c r="AC371" s="18"/>
    </row>
    <row r="372" spans="13:29" x14ac:dyDescent="0.25">
      <c r="M372" s="13"/>
      <c r="R372" s="19"/>
      <c r="AC372" s="18"/>
    </row>
    <row r="373" spans="13:29" x14ac:dyDescent="0.25">
      <c r="M373" s="13"/>
      <c r="R373" s="19"/>
      <c r="AC373" s="18"/>
    </row>
    <row r="374" spans="13:29" x14ac:dyDescent="0.25">
      <c r="M374" s="13"/>
      <c r="R374" s="19"/>
      <c r="AC374" s="18"/>
    </row>
    <row r="375" spans="13:29" x14ac:dyDescent="0.25">
      <c r="M375" s="13"/>
      <c r="R375" s="19"/>
      <c r="AC375" s="18"/>
    </row>
    <row r="376" spans="13:29" x14ac:dyDescent="0.25">
      <c r="M376" s="13"/>
      <c r="R376" s="19"/>
      <c r="AC376" s="18"/>
    </row>
    <row r="377" spans="13:29" x14ac:dyDescent="0.25">
      <c r="M377" s="13"/>
      <c r="R377" s="19"/>
      <c r="AC377" s="18"/>
    </row>
    <row r="378" spans="13:29" x14ac:dyDescent="0.25">
      <c r="M378" s="13"/>
      <c r="R378" s="19"/>
      <c r="AC378" s="18"/>
    </row>
    <row r="379" spans="13:29" x14ac:dyDescent="0.25">
      <c r="M379" s="13"/>
      <c r="R379" s="19"/>
      <c r="AC379" s="18"/>
    </row>
    <row r="380" spans="13:29" x14ac:dyDescent="0.25">
      <c r="M380" s="13"/>
      <c r="R380" s="19"/>
      <c r="AC380" s="18"/>
    </row>
    <row r="381" spans="13:29" x14ac:dyDescent="0.25">
      <c r="M381" s="13"/>
      <c r="R381" s="19"/>
      <c r="AC381" s="18"/>
    </row>
    <row r="382" spans="13:29" x14ac:dyDescent="0.25">
      <c r="M382" s="13"/>
      <c r="R382" s="19"/>
      <c r="AC382" s="18"/>
    </row>
    <row r="383" spans="13:29" x14ac:dyDescent="0.25">
      <c r="M383" s="13"/>
      <c r="R383" s="19"/>
      <c r="AC383" s="18"/>
    </row>
    <row r="384" spans="13:29" x14ac:dyDescent="0.25">
      <c r="M384" s="13"/>
      <c r="R384" s="19"/>
      <c r="AC384" s="18"/>
    </row>
    <row r="385" spans="13:29" x14ac:dyDescent="0.25">
      <c r="M385" s="13"/>
      <c r="R385" s="19"/>
      <c r="AC385" s="18"/>
    </row>
    <row r="386" spans="13:29" x14ac:dyDescent="0.25">
      <c r="M386" s="13"/>
      <c r="R386" s="19"/>
      <c r="AC386" s="18"/>
    </row>
    <row r="387" spans="13:29" x14ac:dyDescent="0.25">
      <c r="M387" s="13"/>
      <c r="R387" s="19"/>
      <c r="AC387" s="18"/>
    </row>
    <row r="388" spans="13:29" x14ac:dyDescent="0.25">
      <c r="M388" s="13"/>
      <c r="R388" s="19"/>
      <c r="AC388" s="18"/>
    </row>
    <row r="389" spans="13:29" x14ac:dyDescent="0.25">
      <c r="M389" s="13"/>
      <c r="R389" s="19"/>
      <c r="AC389" s="18"/>
    </row>
    <row r="390" spans="13:29" x14ac:dyDescent="0.25">
      <c r="M390" s="13"/>
      <c r="R390" s="19"/>
      <c r="AC390" s="18"/>
    </row>
    <row r="391" spans="13:29" x14ac:dyDescent="0.25">
      <c r="M391" s="13"/>
      <c r="R391" s="19"/>
      <c r="AC391" s="18"/>
    </row>
    <row r="392" spans="13:29" x14ac:dyDescent="0.25">
      <c r="M392" s="13"/>
      <c r="R392" s="19"/>
      <c r="AC392" s="18"/>
    </row>
    <row r="393" spans="13:29" x14ac:dyDescent="0.25">
      <c r="M393" s="13"/>
      <c r="R393" s="19"/>
      <c r="AC393" s="18"/>
    </row>
    <row r="394" spans="13:29" x14ac:dyDescent="0.25">
      <c r="M394" s="13"/>
      <c r="R394" s="19"/>
      <c r="AC394" s="18"/>
    </row>
    <row r="395" spans="13:29" x14ac:dyDescent="0.25">
      <c r="M395" s="13"/>
      <c r="R395" s="19"/>
      <c r="AC395" s="18"/>
    </row>
    <row r="396" spans="13:29" x14ac:dyDescent="0.25">
      <c r="M396" s="13"/>
      <c r="R396" s="19"/>
      <c r="AC396" s="18"/>
    </row>
    <row r="397" spans="13:29" x14ac:dyDescent="0.25">
      <c r="M397" s="13"/>
      <c r="R397" s="19"/>
      <c r="AC397" s="18"/>
    </row>
    <row r="398" spans="13:29" x14ac:dyDescent="0.25">
      <c r="M398" s="13"/>
      <c r="R398" s="19"/>
      <c r="AC398" s="18"/>
    </row>
    <row r="399" spans="13:29" x14ac:dyDescent="0.25">
      <c r="M399" s="13"/>
      <c r="R399" s="19"/>
      <c r="AC399" s="18"/>
    </row>
    <row r="400" spans="13:29" x14ac:dyDescent="0.25">
      <c r="M400" s="13"/>
      <c r="R400" s="19"/>
      <c r="AC400" s="18"/>
    </row>
    <row r="401" spans="13:29" x14ac:dyDescent="0.25">
      <c r="M401" s="13"/>
      <c r="R401" s="19"/>
      <c r="AC401" s="18"/>
    </row>
    <row r="402" spans="13:29" x14ac:dyDescent="0.25">
      <c r="M402" s="13"/>
      <c r="R402" s="19"/>
      <c r="AC402" s="18"/>
    </row>
    <row r="403" spans="13:29" x14ac:dyDescent="0.25">
      <c r="M403" s="13"/>
      <c r="R403" s="19"/>
      <c r="AC403" s="18"/>
    </row>
    <row r="404" spans="13:29" x14ac:dyDescent="0.25">
      <c r="M404" s="13"/>
      <c r="R404" s="19"/>
      <c r="AC404" s="18"/>
    </row>
    <row r="405" spans="13:29" x14ac:dyDescent="0.25">
      <c r="M405" s="13"/>
      <c r="R405" s="19"/>
      <c r="AC405" s="18"/>
    </row>
    <row r="406" spans="13:29" x14ac:dyDescent="0.25">
      <c r="M406" s="13"/>
      <c r="R406" s="19"/>
      <c r="AC406" s="18"/>
    </row>
    <row r="407" spans="13:29" x14ac:dyDescent="0.25">
      <c r="M407" s="13"/>
      <c r="R407" s="19"/>
      <c r="AC407" s="18"/>
    </row>
    <row r="408" spans="13:29" x14ac:dyDescent="0.25">
      <c r="M408" s="13"/>
      <c r="R408" s="19"/>
      <c r="AC408" s="18"/>
    </row>
    <row r="409" spans="13:29" x14ac:dyDescent="0.25">
      <c r="M409" s="13"/>
      <c r="R409" s="19"/>
      <c r="AC409" s="18"/>
    </row>
    <row r="410" spans="13:29" x14ac:dyDescent="0.25">
      <c r="M410" s="13"/>
      <c r="R410" s="19"/>
      <c r="AC410" s="18"/>
    </row>
    <row r="411" spans="13:29" x14ac:dyDescent="0.25">
      <c r="M411" s="13"/>
      <c r="R411" s="19"/>
      <c r="AC411" s="18"/>
    </row>
    <row r="412" spans="13:29" x14ac:dyDescent="0.25">
      <c r="M412" s="13"/>
      <c r="R412" s="19"/>
      <c r="AC412" s="18"/>
    </row>
    <row r="413" spans="13:29" x14ac:dyDescent="0.25">
      <c r="M413" s="13"/>
      <c r="R413" s="19"/>
      <c r="AC413" s="18"/>
    </row>
    <row r="414" spans="13:29" x14ac:dyDescent="0.25">
      <c r="M414" s="13"/>
      <c r="R414" s="19"/>
      <c r="AC414" s="18"/>
    </row>
    <row r="415" spans="13:29" x14ac:dyDescent="0.25">
      <c r="M415" s="13"/>
      <c r="R415" s="19"/>
      <c r="AC415" s="18"/>
    </row>
    <row r="416" spans="13:29" x14ac:dyDescent="0.25">
      <c r="M416" s="13"/>
      <c r="R416" s="19"/>
      <c r="AC416" s="18"/>
    </row>
    <row r="417" spans="13:29" x14ac:dyDescent="0.25">
      <c r="M417" s="13"/>
      <c r="R417" s="19"/>
      <c r="AC417" s="18"/>
    </row>
    <row r="418" spans="13:29" x14ac:dyDescent="0.25">
      <c r="M418" s="13"/>
      <c r="R418" s="19"/>
      <c r="AC418" s="18"/>
    </row>
    <row r="419" spans="13:29" x14ac:dyDescent="0.25">
      <c r="M419" s="13"/>
      <c r="R419" s="19"/>
      <c r="AC419" s="18"/>
    </row>
    <row r="420" spans="13:29" x14ac:dyDescent="0.25">
      <c r="M420" s="13"/>
      <c r="R420" s="19"/>
      <c r="AC420" s="18"/>
    </row>
    <row r="421" spans="13:29" x14ac:dyDescent="0.25">
      <c r="M421" s="13"/>
      <c r="R421" s="19"/>
      <c r="AC421" s="18"/>
    </row>
    <row r="422" spans="13:29" x14ac:dyDescent="0.25">
      <c r="M422" s="13"/>
      <c r="R422" s="19"/>
      <c r="AC422" s="18"/>
    </row>
    <row r="423" spans="13:29" x14ac:dyDescent="0.25">
      <c r="M423" s="13"/>
      <c r="R423" s="19"/>
      <c r="AC423" s="18"/>
    </row>
    <row r="424" spans="13:29" x14ac:dyDescent="0.25">
      <c r="M424" s="13"/>
      <c r="R424" s="19"/>
      <c r="AC424" s="18"/>
    </row>
    <row r="425" spans="13:29" x14ac:dyDescent="0.25">
      <c r="M425" s="13"/>
      <c r="R425" s="19"/>
      <c r="AC425" s="18"/>
    </row>
    <row r="426" spans="13:29" x14ac:dyDescent="0.25">
      <c r="M426" s="13"/>
      <c r="R426" s="19"/>
      <c r="AC426" s="18"/>
    </row>
    <row r="427" spans="13:29" x14ac:dyDescent="0.25">
      <c r="M427" s="13"/>
      <c r="R427" s="19"/>
      <c r="AC427" s="18"/>
    </row>
    <row r="428" spans="13:29" x14ac:dyDescent="0.25">
      <c r="M428" s="13"/>
      <c r="R428" s="19"/>
      <c r="AC428" s="18"/>
    </row>
    <row r="429" spans="13:29" x14ac:dyDescent="0.25">
      <c r="M429" s="13"/>
      <c r="R429" s="19"/>
      <c r="AC429" s="18"/>
    </row>
    <row r="430" spans="13:29" x14ac:dyDescent="0.25">
      <c r="M430" s="13"/>
      <c r="R430" s="19"/>
      <c r="AC430" s="18"/>
    </row>
    <row r="431" spans="13:29" x14ac:dyDescent="0.25">
      <c r="M431" s="13"/>
      <c r="R431" s="19"/>
      <c r="AC431" s="18"/>
    </row>
    <row r="432" spans="13:29" x14ac:dyDescent="0.25">
      <c r="M432" s="13"/>
      <c r="R432" s="19"/>
      <c r="AC432" s="18"/>
    </row>
    <row r="433" spans="13:29" x14ac:dyDescent="0.25">
      <c r="M433" s="13"/>
      <c r="R433" s="19"/>
      <c r="AC433" s="18"/>
    </row>
    <row r="434" spans="13:29" x14ac:dyDescent="0.25">
      <c r="M434" s="13"/>
      <c r="R434" s="19"/>
      <c r="AC434" s="18"/>
    </row>
    <row r="435" spans="13:29" x14ac:dyDescent="0.25">
      <c r="M435" s="13"/>
      <c r="R435" s="19"/>
      <c r="AC435" s="18"/>
    </row>
    <row r="436" spans="13:29" x14ac:dyDescent="0.25">
      <c r="M436" s="13"/>
      <c r="R436" s="19"/>
      <c r="AC436" s="18"/>
    </row>
    <row r="437" spans="13:29" x14ac:dyDescent="0.25">
      <c r="M437" s="13"/>
      <c r="R437" s="19"/>
      <c r="AC437" s="18"/>
    </row>
    <row r="438" spans="13:29" x14ac:dyDescent="0.25">
      <c r="M438" s="13"/>
      <c r="R438" s="19"/>
      <c r="AC438" s="18"/>
    </row>
    <row r="439" spans="13:29" x14ac:dyDescent="0.25">
      <c r="M439" s="13"/>
      <c r="R439" s="19"/>
      <c r="AC439" s="18"/>
    </row>
    <row r="440" spans="13:29" x14ac:dyDescent="0.25">
      <c r="M440" s="13"/>
      <c r="R440" s="19"/>
      <c r="AC440" s="18"/>
    </row>
    <row r="441" spans="13:29" x14ac:dyDescent="0.25">
      <c r="M441" s="13"/>
      <c r="R441" s="19"/>
      <c r="AC441" s="18"/>
    </row>
    <row r="442" spans="13:29" x14ac:dyDescent="0.25">
      <c r="M442" s="13"/>
      <c r="R442" s="19"/>
      <c r="AC442" s="18"/>
    </row>
    <row r="443" spans="13:29" x14ac:dyDescent="0.25">
      <c r="M443" s="13"/>
      <c r="R443" s="19"/>
      <c r="AC443" s="18"/>
    </row>
    <row r="444" spans="13:29" x14ac:dyDescent="0.25">
      <c r="M444" s="13"/>
      <c r="R444" s="19"/>
      <c r="AC444" s="18"/>
    </row>
    <row r="445" spans="13:29" x14ac:dyDescent="0.25">
      <c r="M445" s="13"/>
      <c r="R445" s="19"/>
      <c r="AC445" s="18"/>
    </row>
    <row r="446" spans="13:29" x14ac:dyDescent="0.25">
      <c r="M446" s="13"/>
      <c r="R446" s="19"/>
      <c r="AC446" s="18"/>
    </row>
    <row r="447" spans="13:29" x14ac:dyDescent="0.25">
      <c r="M447" s="13"/>
      <c r="R447" s="19"/>
      <c r="AC447" s="18"/>
    </row>
    <row r="448" spans="13:29" x14ac:dyDescent="0.25">
      <c r="M448" s="13"/>
      <c r="R448" s="19"/>
      <c r="AC448" s="18"/>
    </row>
    <row r="449" spans="13:29" x14ac:dyDescent="0.25">
      <c r="M449" s="13"/>
      <c r="R449" s="19"/>
      <c r="AC449" s="18"/>
    </row>
    <row r="450" spans="13:29" x14ac:dyDescent="0.25">
      <c r="M450" s="13"/>
      <c r="R450" s="19"/>
      <c r="AC450" s="18"/>
    </row>
    <row r="451" spans="13:29" x14ac:dyDescent="0.25">
      <c r="M451" s="13"/>
      <c r="R451" s="19"/>
      <c r="AC451" s="18"/>
    </row>
    <row r="452" spans="13:29" x14ac:dyDescent="0.25">
      <c r="M452" s="13"/>
      <c r="R452" s="19"/>
      <c r="AC452" s="18"/>
    </row>
    <row r="453" spans="13:29" x14ac:dyDescent="0.25">
      <c r="M453" s="13"/>
      <c r="R453" s="19"/>
      <c r="AC453" s="18"/>
    </row>
    <row r="454" spans="13:29" x14ac:dyDescent="0.25">
      <c r="M454" s="13"/>
      <c r="R454" s="19"/>
      <c r="AC454" s="18"/>
    </row>
    <row r="455" spans="13:29" x14ac:dyDescent="0.25">
      <c r="M455" s="13"/>
      <c r="R455" s="19"/>
      <c r="AC455" s="18"/>
    </row>
    <row r="456" spans="13:29" x14ac:dyDescent="0.25">
      <c r="M456" s="13"/>
      <c r="R456" s="19"/>
      <c r="AC456" s="18"/>
    </row>
    <row r="457" spans="13:29" x14ac:dyDescent="0.25">
      <c r="M457" s="13"/>
      <c r="R457" s="19"/>
      <c r="AC457" s="18"/>
    </row>
    <row r="458" spans="13:29" x14ac:dyDescent="0.25">
      <c r="M458" s="13"/>
      <c r="R458" s="19"/>
      <c r="AC458" s="18"/>
    </row>
    <row r="459" spans="13:29" x14ac:dyDescent="0.25">
      <c r="M459" s="13"/>
      <c r="R459" s="19"/>
      <c r="AC459" s="18"/>
    </row>
    <row r="460" spans="13:29" x14ac:dyDescent="0.25">
      <c r="M460" s="13"/>
      <c r="R460" s="19"/>
      <c r="AC460" s="18"/>
    </row>
    <row r="461" spans="13:29" x14ac:dyDescent="0.25">
      <c r="M461" s="13"/>
      <c r="R461" s="19"/>
      <c r="AC461" s="18"/>
    </row>
    <row r="462" spans="13:29" x14ac:dyDescent="0.25">
      <c r="M462" s="13"/>
      <c r="R462" s="19"/>
      <c r="AC462" s="18"/>
    </row>
    <row r="463" spans="13:29" x14ac:dyDescent="0.25">
      <c r="M463" s="13"/>
      <c r="R463" s="19"/>
      <c r="AC463" s="18"/>
    </row>
    <row r="464" spans="13:29" x14ac:dyDescent="0.25">
      <c r="M464" s="13"/>
      <c r="R464" s="19"/>
      <c r="AC464" s="18"/>
    </row>
    <row r="465" spans="13:29" x14ac:dyDescent="0.25">
      <c r="M465" s="13"/>
      <c r="R465" s="19"/>
      <c r="AC465" s="18"/>
    </row>
    <row r="466" spans="13:29" x14ac:dyDescent="0.25">
      <c r="M466" s="13"/>
      <c r="R466" s="19"/>
      <c r="AC466" s="18"/>
    </row>
    <row r="467" spans="13:29" x14ac:dyDescent="0.25">
      <c r="M467" s="13"/>
      <c r="R467" s="19"/>
      <c r="AC467" s="18"/>
    </row>
    <row r="468" spans="13:29" x14ac:dyDescent="0.25">
      <c r="M468" s="13"/>
      <c r="R468" s="19"/>
      <c r="AC468" s="18"/>
    </row>
    <row r="469" spans="13:29" x14ac:dyDescent="0.25">
      <c r="M469" s="13"/>
      <c r="R469" s="19"/>
      <c r="AC469" s="18"/>
    </row>
    <row r="470" spans="13:29" x14ac:dyDescent="0.25">
      <c r="M470" s="13"/>
      <c r="R470" s="19"/>
      <c r="AC470" s="18"/>
    </row>
    <row r="471" spans="13:29" x14ac:dyDescent="0.25">
      <c r="M471" s="13"/>
      <c r="R471" s="19"/>
      <c r="AC471" s="18"/>
    </row>
    <row r="472" spans="13:29" x14ac:dyDescent="0.25">
      <c r="M472" s="13"/>
      <c r="R472" s="19"/>
      <c r="AC472" s="18"/>
    </row>
    <row r="473" spans="13:29" x14ac:dyDescent="0.25">
      <c r="M473" s="13"/>
      <c r="R473" s="19"/>
      <c r="AC473" s="18"/>
    </row>
    <row r="474" spans="13:29" x14ac:dyDescent="0.25">
      <c r="M474" s="13"/>
      <c r="R474" s="19"/>
      <c r="AC474" s="18"/>
    </row>
    <row r="475" spans="13:29" x14ac:dyDescent="0.25">
      <c r="M475" s="13"/>
      <c r="R475" s="19"/>
      <c r="AC475" s="18"/>
    </row>
    <row r="476" spans="13:29" x14ac:dyDescent="0.25">
      <c r="M476" s="13"/>
      <c r="R476" s="19"/>
      <c r="AC476" s="18"/>
    </row>
    <row r="477" spans="13:29" x14ac:dyDescent="0.25">
      <c r="M477" s="13"/>
      <c r="R477" s="19"/>
      <c r="AC477" s="18"/>
    </row>
    <row r="478" spans="13:29" x14ac:dyDescent="0.25">
      <c r="M478" s="13"/>
      <c r="R478" s="19"/>
      <c r="AC478" s="18"/>
    </row>
    <row r="479" spans="13:29" x14ac:dyDescent="0.25">
      <c r="M479" s="13"/>
      <c r="R479" s="19"/>
      <c r="AC479" s="18"/>
    </row>
    <row r="480" spans="13:29" x14ac:dyDescent="0.25">
      <c r="M480" s="13"/>
      <c r="R480" s="19"/>
      <c r="AC480" s="18"/>
    </row>
    <row r="481" spans="13:29" x14ac:dyDescent="0.25">
      <c r="M481" s="13"/>
      <c r="R481" s="19"/>
      <c r="AC481" s="18"/>
    </row>
    <row r="482" spans="13:29" x14ac:dyDescent="0.25">
      <c r="M482" s="13"/>
      <c r="R482" s="19"/>
      <c r="AC482" s="18"/>
    </row>
    <row r="483" spans="13:29" x14ac:dyDescent="0.25">
      <c r="M483" s="13"/>
      <c r="R483" s="19"/>
      <c r="AC483" s="18"/>
    </row>
    <row r="484" spans="13:29" x14ac:dyDescent="0.25">
      <c r="M484" s="13"/>
      <c r="R484" s="19"/>
      <c r="AC484" s="18"/>
    </row>
    <row r="485" spans="13:29" x14ac:dyDescent="0.25">
      <c r="M485" s="13"/>
      <c r="R485" s="19"/>
      <c r="AC485" s="18"/>
    </row>
    <row r="486" spans="13:29" x14ac:dyDescent="0.25">
      <c r="M486" s="13"/>
      <c r="R486" s="19"/>
      <c r="AC486" s="18"/>
    </row>
    <row r="487" spans="13:29" x14ac:dyDescent="0.25">
      <c r="M487" s="13"/>
      <c r="R487" s="19"/>
      <c r="AC487" s="18"/>
    </row>
    <row r="488" spans="13:29" x14ac:dyDescent="0.25">
      <c r="M488" s="13"/>
      <c r="R488" s="19"/>
      <c r="AC488" s="18"/>
    </row>
    <row r="489" spans="13:29" x14ac:dyDescent="0.25">
      <c r="M489" s="13"/>
      <c r="R489" s="19"/>
      <c r="AC489" s="18"/>
    </row>
    <row r="490" spans="13:29" x14ac:dyDescent="0.25">
      <c r="M490" s="13"/>
      <c r="R490" s="19"/>
      <c r="AC490" s="18"/>
    </row>
    <row r="491" spans="13:29" x14ac:dyDescent="0.25">
      <c r="M491" s="13"/>
      <c r="R491" s="19"/>
      <c r="AC491" s="18"/>
    </row>
    <row r="492" spans="13:29" x14ac:dyDescent="0.25">
      <c r="M492" s="13"/>
      <c r="R492" s="19"/>
      <c r="AC492" s="18"/>
    </row>
    <row r="493" spans="13:29" x14ac:dyDescent="0.25">
      <c r="M493" s="13"/>
      <c r="R493" s="19"/>
      <c r="AC493" s="18"/>
    </row>
    <row r="494" spans="13:29" x14ac:dyDescent="0.25">
      <c r="M494" s="13"/>
      <c r="R494" s="19"/>
      <c r="AC494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_and_Discount_Line">
                <anchor moveWithCells="1" sizeWithCells="1">
                  <from>
                    <xdr:col>21</xdr:col>
                    <xdr:colOff>0</xdr:colOff>
                    <xdr:row>0</xdr:row>
                    <xdr:rowOff>9525</xdr:rowOff>
                  </from>
                  <to>
                    <xdr:col>21</xdr:col>
                    <xdr:colOff>904875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A42C2-AC01-4F6B-8BD6-8E36E0AB970D}">
  <sheetPr codeName="Sheet2"/>
  <dimension ref="A1:F96"/>
  <sheetViews>
    <sheetView workbookViewId="0">
      <selection activeCell="I17" sqref="I17"/>
    </sheetView>
  </sheetViews>
  <sheetFormatPr defaultRowHeight="15" x14ac:dyDescent="0.25"/>
  <cols>
    <col min="1" max="1" width="9.5703125" style="1" bestFit="1" customWidth="1"/>
    <col min="2" max="2" width="9.7109375" style="1" bestFit="1" customWidth="1"/>
    <col min="3" max="3" width="11" style="1" bestFit="1" customWidth="1"/>
    <col min="4" max="4" width="6.7109375" style="1" bestFit="1" customWidth="1"/>
    <col min="5" max="5" width="11.140625" style="1" bestFit="1" customWidth="1"/>
    <col min="6" max="6" width="6.85546875" style="1" bestFit="1" customWidth="1"/>
  </cols>
  <sheetData>
    <row r="1" spans="1:6" x14ac:dyDescent="0.25">
      <c r="A1" s="2" t="s">
        <v>139</v>
      </c>
      <c r="B1" s="2" t="s">
        <v>140</v>
      </c>
      <c r="C1" s="2" t="s">
        <v>167</v>
      </c>
      <c r="D1" s="2" t="s">
        <v>166</v>
      </c>
      <c r="E1" s="2" t="s">
        <v>168</v>
      </c>
      <c r="F1" s="2" t="s">
        <v>169</v>
      </c>
    </row>
    <row r="2" spans="1:6" x14ac:dyDescent="0.25">
      <c r="A2" t="s">
        <v>27</v>
      </c>
      <c r="B2" s="1" t="s">
        <v>44</v>
      </c>
      <c r="C2" s="1" t="s">
        <v>157</v>
      </c>
      <c r="D2" s="1">
        <v>40101</v>
      </c>
      <c r="E2" s="1" t="s">
        <v>157</v>
      </c>
      <c r="F2" s="1">
        <v>40102</v>
      </c>
    </row>
    <row r="3" spans="1:6" x14ac:dyDescent="0.25">
      <c r="A3" t="s">
        <v>28</v>
      </c>
      <c r="B3" s="1" t="s">
        <v>45</v>
      </c>
      <c r="C3" s="1" t="s">
        <v>158</v>
      </c>
      <c r="D3" s="1">
        <v>40111</v>
      </c>
      <c r="E3" s="1" t="s">
        <v>158</v>
      </c>
      <c r="F3" s="1">
        <v>40112</v>
      </c>
    </row>
    <row r="4" spans="1:6" x14ac:dyDescent="0.25">
      <c r="A4" t="s">
        <v>29</v>
      </c>
      <c r="B4" s="1" t="s">
        <v>46</v>
      </c>
      <c r="C4" s="1" t="s">
        <v>159</v>
      </c>
      <c r="D4" s="1">
        <v>40121</v>
      </c>
      <c r="E4" s="1" t="s">
        <v>159</v>
      </c>
      <c r="F4" s="1">
        <v>40122</v>
      </c>
    </row>
    <row r="5" spans="1:6" x14ac:dyDescent="0.25">
      <c r="A5" t="s">
        <v>30</v>
      </c>
      <c r="B5" s="1" t="s">
        <v>47</v>
      </c>
      <c r="C5" s="1" t="s">
        <v>149</v>
      </c>
      <c r="D5" s="1">
        <v>40131</v>
      </c>
      <c r="E5" s="1" t="s">
        <v>164</v>
      </c>
      <c r="F5" s="1">
        <v>40182</v>
      </c>
    </row>
    <row r="6" spans="1:6" x14ac:dyDescent="0.25">
      <c r="A6" t="s">
        <v>31</v>
      </c>
      <c r="B6" s="1" t="s">
        <v>48</v>
      </c>
      <c r="C6" s="1" t="s">
        <v>160</v>
      </c>
      <c r="D6" s="1">
        <v>40141</v>
      </c>
      <c r="E6" s="1" t="s">
        <v>145</v>
      </c>
      <c r="F6" s="1">
        <v>40212</v>
      </c>
    </row>
    <row r="7" spans="1:6" x14ac:dyDescent="0.25">
      <c r="A7" t="s">
        <v>32</v>
      </c>
      <c r="B7" s="1" t="s">
        <v>49</v>
      </c>
      <c r="C7" s="1" t="s">
        <v>161</v>
      </c>
      <c r="D7" s="1">
        <v>40151</v>
      </c>
      <c r="E7" s="1" t="s">
        <v>171</v>
      </c>
      <c r="F7" s="1">
        <v>49005</v>
      </c>
    </row>
    <row r="8" spans="1:6" x14ac:dyDescent="0.25">
      <c r="A8" t="s">
        <v>33</v>
      </c>
      <c r="B8" s="1" t="s">
        <v>50</v>
      </c>
      <c r="C8" s="1" t="s">
        <v>162</v>
      </c>
      <c r="D8" s="1">
        <v>40161</v>
      </c>
    </row>
    <row r="9" spans="1:6" x14ac:dyDescent="0.25">
      <c r="A9" t="s">
        <v>34</v>
      </c>
      <c r="B9" s="1" t="s">
        <v>51</v>
      </c>
      <c r="C9" s="1" t="s">
        <v>163</v>
      </c>
      <c r="D9" s="1">
        <v>40171</v>
      </c>
    </row>
    <row r="10" spans="1:6" x14ac:dyDescent="0.25">
      <c r="A10" t="s">
        <v>35</v>
      </c>
      <c r="B10" s="1" t="s">
        <v>52</v>
      </c>
      <c r="C10" s="1" t="s">
        <v>164</v>
      </c>
      <c r="D10" s="1">
        <v>40181</v>
      </c>
    </row>
    <row r="11" spans="1:6" x14ac:dyDescent="0.25">
      <c r="A11" t="s">
        <v>36</v>
      </c>
      <c r="B11" s="1" t="s">
        <v>53</v>
      </c>
      <c r="C11" s="1" t="s">
        <v>143</v>
      </c>
      <c r="D11" s="1">
        <v>40191</v>
      </c>
    </row>
    <row r="12" spans="1:6" x14ac:dyDescent="0.25">
      <c r="A12" t="s">
        <v>37</v>
      </c>
      <c r="B12" s="1" t="s">
        <v>54</v>
      </c>
      <c r="C12" s="1" t="s">
        <v>165</v>
      </c>
      <c r="D12" s="1">
        <v>40201</v>
      </c>
    </row>
    <row r="13" spans="1:6" x14ac:dyDescent="0.25">
      <c r="A13" t="s">
        <v>38</v>
      </c>
      <c r="B13" s="1" t="s">
        <v>55</v>
      </c>
      <c r="C13" s="1" t="s">
        <v>145</v>
      </c>
      <c r="D13" s="1">
        <v>40211</v>
      </c>
    </row>
    <row r="14" spans="1:6" x14ac:dyDescent="0.25">
      <c r="A14" t="s">
        <v>39</v>
      </c>
      <c r="B14" s="1" t="s">
        <v>56</v>
      </c>
      <c r="C14" s="1" t="s">
        <v>170</v>
      </c>
      <c r="D14" s="1">
        <v>73500</v>
      </c>
    </row>
    <row r="15" spans="1:6" x14ac:dyDescent="0.25">
      <c r="A15" t="s">
        <v>40</v>
      </c>
      <c r="B15" s="1" t="s">
        <v>57</v>
      </c>
      <c r="C15" s="1" t="s">
        <v>171</v>
      </c>
      <c r="D15" s="1">
        <v>49000</v>
      </c>
    </row>
    <row r="16" spans="1:6" x14ac:dyDescent="0.25">
      <c r="A16" t="s">
        <v>41</v>
      </c>
      <c r="B16" s="1" t="s">
        <v>58</v>
      </c>
      <c r="C16" s="1" t="s">
        <v>155</v>
      </c>
      <c r="D16" s="1">
        <v>40000</v>
      </c>
    </row>
    <row r="17" spans="1:4" x14ac:dyDescent="0.25">
      <c r="A17" t="s">
        <v>42</v>
      </c>
      <c r="B17" s="1" t="s">
        <v>59</v>
      </c>
      <c r="C17" s="1" t="s">
        <v>172</v>
      </c>
      <c r="D17" s="1">
        <v>40000</v>
      </c>
    </row>
    <row r="18" spans="1:4" x14ac:dyDescent="0.25">
      <c r="A18" t="s">
        <v>43</v>
      </c>
      <c r="B18" s="1" t="s">
        <v>60</v>
      </c>
    </row>
    <row r="19" spans="1:4" x14ac:dyDescent="0.25">
      <c r="B19" s="1" t="s">
        <v>61</v>
      </c>
    </row>
    <row r="20" spans="1:4" x14ac:dyDescent="0.25">
      <c r="B20" s="1" t="s">
        <v>62</v>
      </c>
    </row>
    <row r="21" spans="1:4" x14ac:dyDescent="0.25">
      <c r="B21" s="1" t="s">
        <v>63</v>
      </c>
    </row>
    <row r="22" spans="1:4" x14ac:dyDescent="0.25">
      <c r="B22" s="1" t="s">
        <v>64</v>
      </c>
    </row>
    <row r="23" spans="1:4" x14ac:dyDescent="0.25">
      <c r="B23" s="1" t="s">
        <v>65</v>
      </c>
    </row>
    <row r="24" spans="1:4" x14ac:dyDescent="0.25">
      <c r="B24" s="1" t="s">
        <v>66</v>
      </c>
    </row>
    <row r="25" spans="1:4" x14ac:dyDescent="0.25">
      <c r="B25" s="1" t="s">
        <v>67</v>
      </c>
    </row>
    <row r="26" spans="1:4" x14ac:dyDescent="0.25">
      <c r="B26" s="1" t="s">
        <v>68</v>
      </c>
    </row>
    <row r="27" spans="1:4" x14ac:dyDescent="0.25">
      <c r="B27" s="1" t="s">
        <v>69</v>
      </c>
    </row>
    <row r="28" spans="1:4" x14ac:dyDescent="0.25">
      <c r="B28" s="1" t="s">
        <v>70</v>
      </c>
    </row>
    <row r="29" spans="1:4" x14ac:dyDescent="0.25">
      <c r="B29" s="1" t="s">
        <v>71</v>
      </c>
    </row>
    <row r="30" spans="1:4" x14ac:dyDescent="0.25">
      <c r="B30" s="1" t="s">
        <v>72</v>
      </c>
    </row>
    <row r="31" spans="1:4" x14ac:dyDescent="0.25">
      <c r="B31" s="1" t="s">
        <v>73</v>
      </c>
    </row>
    <row r="32" spans="1:4" x14ac:dyDescent="0.25">
      <c r="B32" s="1" t="s">
        <v>74</v>
      </c>
    </row>
    <row r="33" spans="2:2" x14ac:dyDescent="0.25">
      <c r="B33" s="1" t="s">
        <v>75</v>
      </c>
    </row>
    <row r="34" spans="2:2" x14ac:dyDescent="0.25">
      <c r="B34" s="1" t="s">
        <v>76</v>
      </c>
    </row>
    <row r="35" spans="2:2" x14ac:dyDescent="0.25">
      <c r="B35" s="1" t="s">
        <v>77</v>
      </c>
    </row>
    <row r="36" spans="2:2" x14ac:dyDescent="0.25">
      <c r="B36" s="1" t="s">
        <v>78</v>
      </c>
    </row>
    <row r="37" spans="2:2" x14ac:dyDescent="0.25">
      <c r="B37" s="1" t="s">
        <v>79</v>
      </c>
    </row>
    <row r="38" spans="2:2" x14ac:dyDescent="0.25">
      <c r="B38" s="1" t="s">
        <v>80</v>
      </c>
    </row>
    <row r="39" spans="2:2" x14ac:dyDescent="0.25">
      <c r="B39" s="1" t="s">
        <v>81</v>
      </c>
    </row>
    <row r="40" spans="2:2" x14ac:dyDescent="0.25">
      <c r="B40" s="1" t="s">
        <v>82</v>
      </c>
    </row>
    <row r="41" spans="2:2" x14ac:dyDescent="0.25">
      <c r="B41" s="1" t="s">
        <v>83</v>
      </c>
    </row>
    <row r="42" spans="2:2" x14ac:dyDescent="0.25">
      <c r="B42" s="1" t="s">
        <v>84</v>
      </c>
    </row>
    <row r="43" spans="2:2" x14ac:dyDescent="0.25">
      <c r="B43" s="1" t="s">
        <v>85</v>
      </c>
    </row>
    <row r="44" spans="2:2" x14ac:dyDescent="0.25">
      <c r="B44" s="1" t="s">
        <v>86</v>
      </c>
    </row>
    <row r="45" spans="2:2" x14ac:dyDescent="0.25">
      <c r="B45" s="1" t="s">
        <v>87</v>
      </c>
    </row>
    <row r="46" spans="2:2" x14ac:dyDescent="0.25">
      <c r="B46" s="1" t="s">
        <v>88</v>
      </c>
    </row>
    <row r="47" spans="2:2" x14ac:dyDescent="0.25">
      <c r="B47" s="1" t="s">
        <v>89</v>
      </c>
    </row>
    <row r="48" spans="2:2" x14ac:dyDescent="0.25">
      <c r="B48" s="1" t="s">
        <v>90</v>
      </c>
    </row>
    <row r="49" spans="2:2" x14ac:dyDescent="0.25">
      <c r="B49" s="1" t="s">
        <v>91</v>
      </c>
    </row>
    <row r="50" spans="2:2" x14ac:dyDescent="0.25">
      <c r="B50" s="1" t="s">
        <v>92</v>
      </c>
    </row>
    <row r="51" spans="2:2" x14ac:dyDescent="0.25">
      <c r="B51" s="1" t="s">
        <v>93</v>
      </c>
    </row>
    <row r="52" spans="2:2" x14ac:dyDescent="0.25">
      <c r="B52" s="1" t="s">
        <v>94</v>
      </c>
    </row>
    <row r="53" spans="2:2" x14ac:dyDescent="0.25">
      <c r="B53" s="1" t="s">
        <v>95</v>
      </c>
    </row>
    <row r="54" spans="2:2" x14ac:dyDescent="0.25">
      <c r="B54" s="1" t="s">
        <v>96</v>
      </c>
    </row>
    <row r="55" spans="2:2" x14ac:dyDescent="0.25">
      <c r="B55" s="1" t="s">
        <v>97</v>
      </c>
    </row>
    <row r="56" spans="2:2" x14ac:dyDescent="0.25">
      <c r="B56" s="1" t="s">
        <v>98</v>
      </c>
    </row>
    <row r="57" spans="2:2" x14ac:dyDescent="0.25">
      <c r="B57" s="1" t="s">
        <v>99</v>
      </c>
    </row>
    <row r="58" spans="2:2" x14ac:dyDescent="0.25">
      <c r="B58" s="1" t="s">
        <v>100</v>
      </c>
    </row>
    <row r="59" spans="2:2" x14ac:dyDescent="0.25">
      <c r="B59" s="1" t="s">
        <v>101</v>
      </c>
    </row>
    <row r="60" spans="2:2" x14ac:dyDescent="0.25">
      <c r="B60" s="1" t="s">
        <v>102</v>
      </c>
    </row>
    <row r="61" spans="2:2" x14ac:dyDescent="0.25">
      <c r="B61" s="1" t="s">
        <v>103</v>
      </c>
    </row>
    <row r="62" spans="2:2" x14ac:dyDescent="0.25">
      <c r="B62" s="1" t="s">
        <v>104</v>
      </c>
    </row>
    <row r="63" spans="2:2" x14ac:dyDescent="0.25">
      <c r="B63" s="1" t="s">
        <v>105</v>
      </c>
    </row>
    <row r="64" spans="2:2" x14ac:dyDescent="0.25">
      <c r="B64" s="1" t="s">
        <v>106</v>
      </c>
    </row>
    <row r="65" spans="2:2" x14ac:dyDescent="0.25">
      <c r="B65" s="1" t="s">
        <v>107</v>
      </c>
    </row>
    <row r="66" spans="2:2" x14ac:dyDescent="0.25">
      <c r="B66" s="1" t="s">
        <v>108</v>
      </c>
    </row>
    <row r="67" spans="2:2" x14ac:dyDescent="0.25">
      <c r="B67" s="1" t="s">
        <v>109</v>
      </c>
    </row>
    <row r="68" spans="2:2" x14ac:dyDescent="0.25">
      <c r="B68" s="1" t="s">
        <v>110</v>
      </c>
    </row>
    <row r="69" spans="2:2" x14ac:dyDescent="0.25">
      <c r="B69" s="1" t="s">
        <v>111</v>
      </c>
    </row>
    <row r="70" spans="2:2" x14ac:dyDescent="0.25">
      <c r="B70" s="1" t="s">
        <v>112</v>
      </c>
    </row>
    <row r="71" spans="2:2" x14ac:dyDescent="0.25">
      <c r="B71" s="1" t="s">
        <v>113</v>
      </c>
    </row>
    <row r="72" spans="2:2" x14ac:dyDescent="0.25">
      <c r="B72" s="1" t="s">
        <v>114</v>
      </c>
    </row>
    <row r="73" spans="2:2" x14ac:dyDescent="0.25">
      <c r="B73" s="1" t="s">
        <v>115</v>
      </c>
    </row>
    <row r="74" spans="2:2" x14ac:dyDescent="0.25">
      <c r="B74" s="1" t="s">
        <v>116</v>
      </c>
    </row>
    <row r="75" spans="2:2" x14ac:dyDescent="0.25">
      <c r="B75" s="1" t="s">
        <v>117</v>
      </c>
    </row>
    <row r="76" spans="2:2" x14ac:dyDescent="0.25">
      <c r="B76" s="1" t="s">
        <v>118</v>
      </c>
    </row>
    <row r="77" spans="2:2" x14ac:dyDescent="0.25">
      <c r="B77" s="1" t="s">
        <v>119</v>
      </c>
    </row>
    <row r="78" spans="2:2" x14ac:dyDescent="0.25">
      <c r="B78" s="1" t="s">
        <v>120</v>
      </c>
    </row>
    <row r="79" spans="2:2" x14ac:dyDescent="0.25">
      <c r="B79" s="1" t="s">
        <v>121</v>
      </c>
    </row>
    <row r="80" spans="2:2" x14ac:dyDescent="0.25">
      <c r="B80" s="1" t="s">
        <v>122</v>
      </c>
    </row>
    <row r="81" spans="2:2" x14ac:dyDescent="0.25">
      <c r="B81" s="1" t="s">
        <v>123</v>
      </c>
    </row>
    <row r="82" spans="2:2" x14ac:dyDescent="0.25">
      <c r="B82" s="1" t="s">
        <v>124</v>
      </c>
    </row>
    <row r="83" spans="2:2" x14ac:dyDescent="0.25">
      <c r="B83" s="1" t="s">
        <v>125</v>
      </c>
    </row>
    <row r="84" spans="2:2" x14ac:dyDescent="0.25">
      <c r="B84" s="1" t="s">
        <v>126</v>
      </c>
    </row>
    <row r="85" spans="2:2" x14ac:dyDescent="0.25">
      <c r="B85" s="1" t="s">
        <v>127</v>
      </c>
    </row>
    <row r="86" spans="2:2" x14ac:dyDescent="0.25">
      <c r="B86" s="1" t="s">
        <v>128</v>
      </c>
    </row>
    <row r="87" spans="2:2" x14ac:dyDescent="0.25">
      <c r="B87" s="1" t="s">
        <v>129</v>
      </c>
    </row>
    <row r="88" spans="2:2" x14ac:dyDescent="0.25">
      <c r="B88" s="1" t="s">
        <v>130</v>
      </c>
    </row>
    <row r="89" spans="2:2" x14ac:dyDescent="0.25">
      <c r="B89" s="1" t="s">
        <v>131</v>
      </c>
    </row>
    <row r="90" spans="2:2" x14ac:dyDescent="0.25">
      <c r="B90" s="1" t="s">
        <v>132</v>
      </c>
    </row>
    <row r="91" spans="2:2" x14ac:dyDescent="0.25">
      <c r="B91" s="1" t="s">
        <v>133</v>
      </c>
    </row>
    <row r="92" spans="2:2" x14ac:dyDescent="0.25">
      <c r="B92" s="1" t="s">
        <v>134</v>
      </c>
    </row>
    <row r="93" spans="2:2" x14ac:dyDescent="0.25">
      <c r="B93" s="1" t="s">
        <v>135</v>
      </c>
    </row>
    <row r="94" spans="2:2" x14ac:dyDescent="0.25">
      <c r="B94" s="1" t="s">
        <v>136</v>
      </c>
    </row>
    <row r="95" spans="2:2" x14ac:dyDescent="0.25">
      <c r="B95" s="1" t="s">
        <v>137</v>
      </c>
    </row>
    <row r="96" spans="2:2" x14ac:dyDescent="0.25">
      <c r="B96" s="1" t="s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Services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Byrne</dc:creator>
  <cp:lastModifiedBy>ryenigma</cp:lastModifiedBy>
  <dcterms:created xsi:type="dcterms:W3CDTF">2019-01-13T00:09:23Z</dcterms:created>
  <dcterms:modified xsi:type="dcterms:W3CDTF">2021-04-28T23:16:52Z</dcterms:modified>
</cp:coreProperties>
</file>